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Risiko" sheetId="4" state="visible" r:id="rId4"/>
    <sheet xmlns:r="http://schemas.openxmlformats.org/officeDocument/2006/relationships" name="Legenda" sheetId="5" state="visible" r:id="rId5"/>
  </sheets>
  <definedNames>
    <definedName name="_xlnm._FilterDatabase" localSheetId="0" hidden="1">'WBS'!$A$4:$K$76</definedName>
    <definedName name="_xlnm.Print_Titles" localSheetId="0">'WBS'!$4:$4</definedName>
    <definedName name="_xlnm.Print_Area" localSheetId="0">'WBS'!$A$1:$K$77</definedName>
    <definedName name="_xlnm.Print_Area" localSheetId="1">'Ringkasan'!$A$1:$G$19</definedName>
    <definedName name="_xlnm.Print_Area" localSheetId="2">'Timeline'!$A$1:$F$7</definedName>
    <definedName name="_xlnm.Print_Area" localSheetId="3">'Risiko'!$A$1:$F$10</definedName>
    <definedName name="_xlnm.Print_Area" localSheetId="4">'Legenda'!$A$1:$D$38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475569"/>
      <sz val="10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b val="1"/>
      <color rgb="00FFFFFF"/>
      <sz val="10.5"/>
    </font>
    <font>
      <name val="Calibri"/>
      <color rgb="001F2937"/>
      <sz val="9.5"/>
    </font>
    <font>
      <name val="Calibri"/>
      <b val="1"/>
      <color rgb="00991B1B"/>
      <sz val="9"/>
    </font>
    <font>
      <name val="Calibri"/>
      <b val="1"/>
      <color rgb="00166534"/>
      <sz val="9"/>
    </font>
    <font>
      <name val="Calibri"/>
      <b val="1"/>
      <color rgb="00475569"/>
      <sz val="9"/>
    </font>
    <font>
      <name val="Calibri"/>
      <b val="1"/>
      <color rgb="0092400E"/>
      <sz val="9"/>
    </font>
    <font>
      <name val="Calibri"/>
      <b val="1"/>
      <color rgb="00334155"/>
      <sz val="9"/>
    </font>
    <font>
      <name val="Calibri"/>
      <b val="1"/>
      <color rgb="001E40AF"/>
      <sz val="9"/>
    </font>
    <font>
      <b val="1"/>
      <color rgb="00FFFFFF"/>
      <sz val="10"/>
    </font>
    <font>
      <b val="1"/>
      <color rgb="00FFFFFF"/>
      <sz val="9"/>
    </font>
    <font>
      <color rgb="00FFFFFF"/>
      <sz val="9"/>
    </font>
    <font>
      <b val="1"/>
      <color rgb="00FFFFFF"/>
      <sz val="16"/>
    </font>
    <font>
      <color rgb="00475569"/>
      <sz val="9.5"/>
    </font>
    <font>
      <sz val="9.5"/>
    </font>
    <font>
      <b val="1"/>
      <sz val="9.5"/>
    </font>
    <font>
      <b val="1"/>
      <sz val="10"/>
    </font>
    <font>
      <color rgb="00475569"/>
      <sz val="9"/>
    </font>
    <font>
      <b val="1"/>
      <sz val="9"/>
    </font>
    <font>
      <b val="1"/>
      <color rgb="00FFFFFF"/>
      <sz val="10.5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E2E8F0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wrapText="1" indent="1"/>
    </xf>
    <xf numFmtId="0" fontId="4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 indent="2"/>
    </xf>
    <xf numFmtId="0" fontId="7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right" vertical="center"/>
    </xf>
    <xf numFmtId="0" fontId="0" fillId="10" borderId="1" pivotButton="0" quotePrefix="0" xfId="0"/>
    <xf numFmtId="0" fontId="14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vertical="center" indent="1"/>
    </xf>
    <xf numFmtId="0" fontId="18" fillId="0" borderId="0" applyAlignment="1" pivotButton="0" quotePrefix="0" xfId="0">
      <alignment vertical="center" indent="1"/>
    </xf>
    <xf numFmtId="0" fontId="14" fillId="3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/>
    </xf>
    <xf numFmtId="0" fontId="20" fillId="0" borderId="1" pivotButton="0" quotePrefix="0" xfId="0"/>
    <xf numFmtId="0" fontId="19" fillId="7" borderId="1" applyAlignment="1" pivotButton="0" quotePrefix="0" xfId="0">
      <alignment horizontal="center"/>
    </xf>
    <xf numFmtId="0" fontId="20" fillId="7" borderId="1" pivotButton="0" quotePrefix="0" xfId="0"/>
    <xf numFmtId="0" fontId="14" fillId="10" borderId="1" applyAlignment="1" pivotButton="0" quotePrefix="0" xfId="0">
      <alignment horizontal="center"/>
    </xf>
    <xf numFmtId="0" fontId="14" fillId="10" borderId="1" applyAlignment="1" pivotButton="0" quotePrefix="0" xfId="0">
      <alignment horizontal="left"/>
    </xf>
    <xf numFmtId="0" fontId="21" fillId="0" borderId="0" pivotButton="0" quotePrefix="0" xfId="0"/>
    <xf numFmtId="0" fontId="22" fillId="0" borderId="0" pivotButton="0" quotePrefix="0" xfId="0"/>
    <xf numFmtId="0" fontId="20" fillId="7" borderId="1" applyAlignment="1" pivotButton="0" quotePrefix="0" xfId="0">
      <alignment horizontal="left" vertical="top" wrapText="1"/>
    </xf>
    <xf numFmtId="0" fontId="19" fillId="7" borderId="1" applyAlignment="1" pivotButton="0" quotePrefix="0" xfId="0">
      <alignment horizontal="left" vertical="top" wrapText="1"/>
    </xf>
    <xf numFmtId="0" fontId="19" fillId="7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/>
    </xf>
    <xf numFmtId="0" fontId="23" fillId="5" borderId="1" applyAlignment="1" pivotButton="0" quotePrefix="0" xfId="0">
      <alignment horizontal="center" vertical="top" wrapText="1"/>
    </xf>
    <xf numFmtId="0" fontId="23" fillId="8" borderId="1" applyAlignment="1" pivotButton="0" quotePrefix="0" xfId="0">
      <alignment horizontal="center" vertical="top" wrapText="1"/>
    </xf>
    <xf numFmtId="0" fontId="23" fillId="6" borderId="1" applyAlignment="1" pivotButton="0" quotePrefix="0" xfId="0">
      <alignment horizontal="center" vertical="top" wrapText="1"/>
    </xf>
    <xf numFmtId="0" fontId="24" fillId="3" borderId="0" applyAlignment="1" pivotButton="0" quotePrefix="0" xfId="0">
      <alignment vertical="center" indent="1"/>
    </xf>
    <xf numFmtId="0" fontId="2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K7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40" customWidth="1" min="3" max="3"/>
    <col width="62" customWidth="1" min="4" max="4"/>
    <col width="15" customWidth="1" min="5" max="5"/>
    <col width="11" customWidth="1" min="6" max="6"/>
    <col width="11" customWidth="1" min="7" max="7"/>
    <col width="12" customWidth="1" min="8" max="8"/>
    <col width="46" customWidth="1" min="9" max="9"/>
    <col width="13" customWidth="1" min="10" max="10"/>
    <col width="13" customWidth="1" min="11" max="11"/>
  </cols>
  <sheetData>
    <row r="1" ht="34" customHeight="1">
      <c r="A1" s="1" t="inlineStr">
        <is>
          <t>WORK BREAKDOWN STRUCTURE — APLIKASI HELPDESK</t>
        </is>
      </c>
    </row>
    <row r="2" ht="20" customHeight="1">
      <c r="A2" s="2" t="inlineStr">
        <is>
          <t>Take Home Programming Test — Software Engineer · Ciheul Technologies · Kandidat: Fanadillah · Disusun 22 Oktober 2026 · Batas pengumpulan 25 Oktober 2026</t>
        </is>
      </c>
    </row>
    <row r="3" ht="26" customHeight="1">
      <c r="A3" s="3" t="inlineStr">
        <is>
          <t>Ruang lingkup: Live Chat Widget (JavaScript) + Web App agent + Mobile App (Flutter), realtime lintas kanal, SQLite. Estimasi dalam jam-orang; eksekusi solo 4 hari memprioritaskan Must, didukung AI sesuai aturan soal.</t>
        </is>
      </c>
    </row>
    <row r="4" ht="32" customHeight="1">
      <c r="A4" s="4" t="inlineStr">
        <is>
          <t>Kode</t>
        </is>
      </c>
      <c r="B4" s="4" t="inlineStr">
        <is>
          <t>Level</t>
        </is>
      </c>
      <c r="C4" s="4" t="inlineStr">
        <is>
          <t>Nama Item / Modul / Fitur</t>
        </is>
      </c>
      <c r="D4" s="4" t="inlineStr">
        <is>
          <t>Deskripsi</t>
        </is>
      </c>
      <c r="E4" s="4" t="inlineStr">
        <is>
          <t>Ref BPMN</t>
        </is>
      </c>
      <c r="F4" s="4" t="inlineStr">
        <is>
          <t>Prioritas</t>
        </is>
      </c>
      <c r="G4" s="4" t="inlineStr">
        <is>
          <t>Estimasi (jam)</t>
        </is>
      </c>
      <c r="H4" s="4" t="inlineStr">
        <is>
          <t>Dependency</t>
        </is>
      </c>
      <c r="I4" s="4" t="inlineStr">
        <is>
          <t>Acceptance Criteria</t>
        </is>
      </c>
      <c r="J4" s="4" t="inlineStr">
        <is>
          <t>Target Hari</t>
        </is>
      </c>
      <c r="K4" s="4" t="inlineStr">
        <is>
          <t>Status</t>
        </is>
      </c>
    </row>
    <row r="5" ht="26" customHeight="1">
      <c r="A5" s="5" t="inlineStr">
        <is>
          <t>1</t>
        </is>
      </c>
      <c r="B5" s="5" t="n">
        <v>1</v>
      </c>
      <c r="C5" s="6" t="inlineStr">
        <is>
          <t>Aplikasi Helpdesk (widget, web, mobile)</t>
        </is>
      </c>
      <c r="D5" s="6" t="inlineStr">
        <is>
          <t>Live Chat Widget + Web App (agent) + Mobile App realtime, seluruh fitur wajib dan fitur opsional pada instruksi take home test.</t>
        </is>
      </c>
      <c r="E5" s="5" t="inlineStr">
        <is>
          <t>Pool</t>
        </is>
      </c>
      <c r="F5" s="5" t="inlineStr">
        <is>
          <t>Must</t>
        </is>
      </c>
      <c r="G5" s="5" t="n">
        <v>104.5</v>
      </c>
      <c r="H5" s="5" t="inlineStr">
        <is>
          <t>—</t>
        </is>
      </c>
      <c r="I5" s="6" t="inlineStr">
        <is>
          <t>Semua deliverable terkumpul: BPMN PDF, WBS XLSX, source code 1 repo, APK.</t>
        </is>
      </c>
      <c r="J5" s="5" t="inlineStr">
        <is>
          <t>Hari 1-4</t>
        </is>
      </c>
      <c r="K5" s="5" t="inlineStr">
        <is>
          <t>In Progress</t>
        </is>
      </c>
    </row>
    <row r="6" ht="31" customHeight="1">
      <c r="A6" s="7" t="inlineStr">
        <is>
          <t>1.1</t>
        </is>
      </c>
      <c r="B6" s="7" t="n">
        <v>2</v>
      </c>
      <c r="C6" s="8" t="inlineStr">
        <is>
          <t>Analisis &amp; Desain</t>
        </is>
      </c>
      <c r="D6" s="9" t="inlineStr">
        <is>
          <t>Pemodelan proses bisnis, arsitektur, skema data, dan kontrak integrasi.</t>
        </is>
      </c>
      <c r="E6" s="7" t="inlineStr">
        <is>
          <t>BPMN</t>
        </is>
      </c>
      <c r="F6" s="7" t="inlineStr">
        <is>
          <t>Must</t>
        </is>
      </c>
      <c r="G6" s="7" t="n">
        <v>10.5</v>
      </c>
      <c r="H6" s="7" t="inlineStr">
        <is>
          <t>—</t>
        </is>
      </c>
      <c r="I6" s="9" t="inlineStr">
        <is>
          <t>Dokumen analisis disetujui dan menjadi acuan implementasi.</t>
        </is>
      </c>
      <c r="J6" s="7" t="inlineStr">
        <is>
          <t>Hari 1</t>
        </is>
      </c>
      <c r="K6" s="7" t="inlineStr">
        <is>
          <t>In Progress</t>
        </is>
      </c>
    </row>
    <row r="7" outlineLevel="1" ht="30" customHeight="1">
      <c r="A7" s="10" t="inlineStr">
        <is>
          <t>1.1.1</t>
        </is>
      </c>
      <c r="B7" s="10" t="n">
        <v>3</v>
      </c>
      <c r="C7" s="11" t="inlineStr">
        <is>
          <t>BPMN swimlane alur tiket</t>
        </is>
      </c>
      <c r="D7" s="12" t="inlineStr">
        <is>
          <t>5 lane (Customer, Live Chat System, CS Agent, Supervisor, Admin); alur tiket, eskalasi L2, timer SLA, CSAT, auto-close.</t>
        </is>
      </c>
      <c r="E7" s="10" t="inlineStr">
        <is>
          <t>Semua</t>
        </is>
      </c>
      <c r="F7" s="13" t="inlineStr">
        <is>
          <t>Must</t>
        </is>
      </c>
      <c r="G7" s="10" t="n">
        <v>3</v>
      </c>
      <c r="H7" s="10" t="inlineStr">
        <is>
          <t>1.1</t>
        </is>
      </c>
      <c r="I7" s="12" t="inlineStr">
        <is>
          <t>PDF A3 berisi seluruh alur utama + cabang eskalasi.</t>
        </is>
      </c>
      <c r="J7" s="10" t="inlineStr">
        <is>
          <t>Hari 1</t>
        </is>
      </c>
      <c r="K7" s="14" t="inlineStr">
        <is>
          <t>Done</t>
        </is>
      </c>
    </row>
    <row r="8" outlineLevel="1" ht="30" customHeight="1">
      <c r="A8" s="10" t="inlineStr">
        <is>
          <t>1.1.2</t>
        </is>
      </c>
      <c r="B8" s="10" t="n">
        <v>3</v>
      </c>
      <c r="C8" s="11" t="inlineStr">
        <is>
          <t>WBS modul &amp; fitur</t>
        </is>
      </c>
      <c r="D8" s="12" t="inlineStr">
        <is>
          <t>Dekomposisi modul, fitur, estimasi, dependency, acceptance criteria, dan target harian.</t>
        </is>
      </c>
      <c r="E8" s="10" t="inlineStr">
        <is>
          <t>Semua</t>
        </is>
      </c>
      <c r="F8" s="13" t="inlineStr">
        <is>
          <t>Must</t>
        </is>
      </c>
      <c r="G8" s="10" t="n">
        <v>2</v>
      </c>
      <c r="H8" s="10" t="inlineStr">
        <is>
          <t>1.1</t>
        </is>
      </c>
      <c r="I8" s="12" t="inlineStr">
        <is>
          <t>WBS dapat ditelusuri ke elemen BPMN (kolom Ref BPMN).</t>
        </is>
      </c>
      <c r="J8" s="10" t="inlineStr">
        <is>
          <t>Hari 1</t>
        </is>
      </c>
      <c r="K8" s="14" t="inlineStr">
        <is>
          <t>Done</t>
        </is>
      </c>
    </row>
    <row r="9" outlineLevel="1" ht="43" customHeight="1">
      <c r="A9" s="10" t="inlineStr">
        <is>
          <t>1.1.3</t>
        </is>
      </c>
      <c r="B9" s="10" t="n">
        <v>3</v>
      </c>
      <c r="C9" s="11" t="inlineStr">
        <is>
          <t>ERD &amp; database schema</t>
        </is>
      </c>
      <c r="D9" s="12" t="inlineStr">
        <is>
          <t>12 tabel: users, categories, tickets, ticket_messages, message_receipts, ticket_events, attachments, canned_responses, kb_articles, devices, notifications, ai_logs.</t>
        </is>
      </c>
      <c r="E9" s="10" t="inlineStr">
        <is>
          <t>S1, S4, S6</t>
        </is>
      </c>
      <c r="F9" s="13" t="inlineStr">
        <is>
          <t>Must</t>
        </is>
      </c>
      <c r="G9" s="10" t="n">
        <v>2</v>
      </c>
      <c r="H9" s="10" t="inlineStr">
        <is>
          <t>1.1</t>
        </is>
      </c>
      <c r="I9" s="12" t="inlineStr">
        <is>
          <t>ERD final + file migrasi SQL berjalan tanpa error.</t>
        </is>
      </c>
      <c r="J9" s="10" t="inlineStr">
        <is>
          <t>Hari 1</t>
        </is>
      </c>
      <c r="K9" s="15" t="inlineStr">
        <is>
          <t>Planned</t>
        </is>
      </c>
    </row>
    <row r="10" outlineLevel="1" ht="30" customHeight="1">
      <c r="A10" s="10" t="inlineStr">
        <is>
          <t>1.1.4</t>
        </is>
      </c>
      <c r="B10" s="10" t="n">
        <v>3</v>
      </c>
      <c r="C10" s="11" t="inlineStr">
        <is>
          <t>Kontrak REST API &amp; event Socket.IO</t>
        </is>
      </c>
      <c r="D10" s="12" t="inlineStr">
        <is>
          <t>Daftar endpoint, payload, event realtime (message:new, ack, typing, presence, ticket:update), aturan error &amp; idempotensi.</t>
        </is>
      </c>
      <c r="E10" s="10" t="inlineStr">
        <is>
          <t>S6, A2</t>
        </is>
      </c>
      <c r="F10" s="13" t="inlineStr">
        <is>
          <t>Must</t>
        </is>
      </c>
      <c r="G10" s="10" t="n">
        <v>1.5</v>
      </c>
      <c r="H10" s="10" t="inlineStr">
        <is>
          <t>1.1</t>
        </is>
      </c>
      <c r="I10" s="12" t="inlineStr">
        <is>
          <t>Dokumentasi API konsisten dipakai web, widget, dan mobile.</t>
        </is>
      </c>
      <c r="J10" s="10" t="inlineStr">
        <is>
          <t>Hari 1</t>
        </is>
      </c>
      <c r="K10" s="15" t="inlineStr">
        <is>
          <t>Planned</t>
        </is>
      </c>
    </row>
    <row r="11" outlineLevel="1" ht="30" customHeight="1">
      <c r="A11" s="10" t="inlineStr">
        <is>
          <t>1.1.5</t>
        </is>
      </c>
      <c r="B11" s="10" t="n">
        <v>3</v>
      </c>
      <c r="C11" s="11" t="inlineStr">
        <is>
          <t>Wireframe 3 kanal</t>
        </is>
      </c>
      <c r="D11" s="12" t="inlineStr">
        <is>
          <t>Wireframe widget chat, dashboard agent, dan mobile app (customer &amp; agent mode).</t>
        </is>
      </c>
      <c r="E11" s="10" t="inlineStr">
        <is>
          <t>C1, A1, A2</t>
        </is>
      </c>
      <c r="F11" s="16" t="inlineStr">
        <is>
          <t>Should</t>
        </is>
      </c>
      <c r="G11" s="10" t="n">
        <v>1</v>
      </c>
      <c r="H11" s="10" t="inlineStr">
        <is>
          <t>1.1</t>
        </is>
      </c>
      <c r="I11" s="12" t="inlineStr">
        <is>
          <t>Alur utama tiap kanal dapat didemokan tanpa dead-end.</t>
        </is>
      </c>
      <c r="J11" s="10" t="inlineStr">
        <is>
          <t>Hari 1</t>
        </is>
      </c>
      <c r="K11" s="15" t="inlineStr">
        <is>
          <t>Planned</t>
        </is>
      </c>
    </row>
    <row r="12" outlineLevel="1" ht="30" customHeight="1">
      <c r="A12" s="10" t="inlineStr">
        <is>
          <t>1.1.6</t>
        </is>
      </c>
      <c r="B12" s="10" t="n">
        <v>3</v>
      </c>
      <c r="C12" s="11" t="inlineStr">
        <is>
          <t>Arsitektur realtime &amp; model keamanan</t>
        </is>
      </c>
      <c r="D12" s="12" t="inlineStr">
        <is>
          <t>Topologi Socket.IO, reconnect/replay, JWT + refresh token, RBAC 4 role, validasi upload, rate limit.</t>
        </is>
      </c>
      <c r="E12" s="10" t="inlineStr">
        <is>
          <t>S6</t>
        </is>
      </c>
      <c r="F12" s="13" t="inlineStr">
        <is>
          <t>Must</t>
        </is>
      </c>
      <c r="G12" s="10" t="n">
        <v>1</v>
      </c>
      <c r="H12" s="10" t="inlineStr">
        <is>
          <t>1.1</t>
        </is>
      </c>
      <c r="I12" s="12" t="inlineStr">
        <is>
          <t>Threat model singkat + diagram arsitektur di README.</t>
        </is>
      </c>
      <c r="J12" s="10" t="inlineStr">
        <is>
          <t>Hari 1</t>
        </is>
      </c>
      <c r="K12" s="15" t="inlineStr">
        <is>
          <t>Planned</t>
        </is>
      </c>
    </row>
    <row r="13" ht="31" customHeight="1">
      <c r="A13" s="7" t="inlineStr">
        <is>
          <t>1.2</t>
        </is>
      </c>
      <c r="B13" s="7" t="n">
        <v>2</v>
      </c>
      <c r="C13" s="8" t="inlineStr">
        <is>
          <t>Backend Core (Node.js + Express + Socket.IO + SQLite)</t>
        </is>
      </c>
      <c r="D13" s="9" t="inlineStr">
        <is>
          <t>API, autentikasi, lifecycle tiket, chat realtime, SLA, notifikasi, AI, laporan.</t>
        </is>
      </c>
      <c r="E13" s="7" t="inlineStr">
        <is>
          <t>S1-S8, A1-A7</t>
        </is>
      </c>
      <c r="F13" s="7" t="inlineStr">
        <is>
          <t>Must</t>
        </is>
      </c>
      <c r="G13" s="7" t="n">
        <v>39</v>
      </c>
      <c r="H13" s="7" t="inlineStr">
        <is>
          <t>1.1</t>
        </is>
      </c>
      <c r="I13" s="9" t="inlineStr">
        <is>
          <t>Seluruh API teruji dan lolos integration test.</t>
        </is>
      </c>
      <c r="J13" s="7" t="inlineStr">
        <is>
          <t>Hari 1-2</t>
        </is>
      </c>
      <c r="K13" s="7" t="inlineStr">
        <is>
          <t>Planned</t>
        </is>
      </c>
    </row>
    <row r="14" outlineLevel="1" ht="30" customHeight="1">
      <c r="A14" s="10" t="inlineStr">
        <is>
          <t>1.2.1</t>
        </is>
      </c>
      <c r="B14" s="10" t="n">
        <v>3</v>
      </c>
      <c r="C14" s="11" t="inlineStr">
        <is>
          <t>Scaffold, config, migrasi DB</t>
        </is>
      </c>
      <c r="D14" s="12" t="inlineStr">
        <is>
          <t>Struktur folder, env, logger, error handler, migrasi + seed runner, SQLite WAL.</t>
        </is>
      </c>
      <c r="E14" s="10" t="inlineStr">
        <is>
          <t>S1</t>
        </is>
      </c>
      <c r="F14" s="13" t="inlineStr">
        <is>
          <t>Must</t>
        </is>
      </c>
      <c r="G14" s="10" t="n">
        <v>1.5</v>
      </c>
      <c r="H14" s="10" t="inlineStr">
        <is>
          <t>1.1.3</t>
        </is>
      </c>
      <c r="I14" s="12" t="inlineStr">
        <is>
          <t>`npm run migrate &amp;&amp; npm run seed` sukses dari repo bersih.</t>
        </is>
      </c>
      <c r="J14" s="10" t="inlineStr">
        <is>
          <t>Hari 1</t>
        </is>
      </c>
      <c r="K14" s="15" t="inlineStr">
        <is>
          <t>Planned</t>
        </is>
      </c>
    </row>
    <row r="15" outlineLevel="1" ht="30" customHeight="1">
      <c r="A15" s="10" t="inlineStr">
        <is>
          <t>1.2.2</t>
        </is>
      </c>
      <c r="B15" s="10" t="n">
        <v>3</v>
      </c>
      <c r="C15" s="11" t="inlineStr">
        <is>
          <t>Auth JWT + RBAC 4 role</t>
        </is>
      </c>
      <c r="D15" s="12" t="inlineStr">
        <is>
          <t>Login customer/agent/supervisor/admin, refresh token, guard per endpoint &amp; event.</t>
        </is>
      </c>
      <c r="E15" s="10" t="inlineStr">
        <is>
          <t>S1, A1, P1, D1</t>
        </is>
      </c>
      <c r="F15" s="13" t="inlineStr">
        <is>
          <t>Must</t>
        </is>
      </c>
      <c r="G15" s="10" t="n">
        <v>3</v>
      </c>
      <c r="H15" s="10" t="inlineStr">
        <is>
          <t>1.2.1</t>
        </is>
      </c>
      <c r="I15" s="12" t="inlineStr">
        <is>
          <t>Akses lintas role ditolak (403) dan diuji.</t>
        </is>
      </c>
      <c r="J15" s="10" t="inlineStr">
        <is>
          <t>Hari 2</t>
        </is>
      </c>
      <c r="K15" s="15" t="inlineStr">
        <is>
          <t>Planned</t>
        </is>
      </c>
    </row>
    <row r="16" outlineLevel="1" ht="30" customHeight="1">
      <c r="A16" s="10" t="inlineStr">
        <is>
          <t>1.2.3</t>
        </is>
      </c>
      <c r="B16" s="10" t="n">
        <v>3</v>
      </c>
      <c r="C16" s="11" t="inlineStr">
        <is>
          <t>Manajemen user &amp; agent</t>
        </is>
      </c>
      <c r="D16" s="12" t="inlineStr">
        <is>
          <t>CRUD user, status aktif, penugasan tim, profil agent.</t>
        </is>
      </c>
      <c r="E16" s="10" t="inlineStr">
        <is>
          <t>D1</t>
        </is>
      </c>
      <c r="F16" s="13" t="inlineStr">
        <is>
          <t>Must</t>
        </is>
      </c>
      <c r="G16" s="10" t="n">
        <v>1.5</v>
      </c>
      <c r="H16" s="10" t="inlineStr">
        <is>
          <t>1.2.2</t>
        </is>
      </c>
      <c r="I16" s="12" t="inlineStr">
        <is>
          <t>Admin dapat menonaktifkan agent; sesi aktif ikut dicabut.</t>
        </is>
      </c>
      <c r="J16" s="10" t="inlineStr">
        <is>
          <t>Hari 2</t>
        </is>
      </c>
      <c r="K16" s="15" t="inlineStr">
        <is>
          <t>Planned</t>
        </is>
      </c>
    </row>
    <row r="17" outlineLevel="1" ht="30" customHeight="1">
      <c r="A17" s="10" t="inlineStr">
        <is>
          <t>1.2.4</t>
        </is>
      </c>
      <c r="B17" s="10" t="n">
        <v>3</v>
      </c>
      <c r="C17" s="11" t="inlineStr">
        <is>
          <t>Tiket: CRUD &amp; status lifecycle</t>
        </is>
      </c>
      <c r="D17" s="12" t="inlineStr">
        <is>
          <t>Validasi transisi New → Assigned → On Progress ⇄ Pending → Resolved → Closed, reopen ≤ 7 hari, auto-close.</t>
        </is>
      </c>
      <c r="E17" s="10" t="inlineStr">
        <is>
          <t>C2, A7, S8</t>
        </is>
      </c>
      <c r="F17" s="13" t="inlineStr">
        <is>
          <t>Must</t>
        </is>
      </c>
      <c r="G17" s="10" t="n">
        <v>3</v>
      </c>
      <c r="H17" s="10" t="inlineStr">
        <is>
          <t>1.2.1</t>
        </is>
      </c>
      <c r="I17" s="12" t="inlineStr">
        <is>
          <t>Transisi ilegal ditolak; riwayat status tersimpan.</t>
        </is>
      </c>
      <c r="J17" s="10" t="inlineStr">
        <is>
          <t>Hari 2</t>
        </is>
      </c>
      <c r="K17" s="15" t="inlineStr">
        <is>
          <t>Planned</t>
        </is>
      </c>
    </row>
    <row r="18" outlineLevel="1" ht="30" customHeight="1">
      <c r="A18" s="10" t="inlineStr">
        <is>
          <t>1.2.5</t>
        </is>
      </c>
      <c r="B18" s="10" t="n">
        <v>3</v>
      </c>
      <c r="C18" s="11" t="inlineStr">
        <is>
          <t>Kategori, prioritas &amp; auto-assign</t>
        </is>
      </c>
      <c r="D18" s="12" t="inlineStr">
        <is>
          <t>Kategori dengan SLA default, prioritas Low/Medium/High/Urgent, round-robin agent online.</t>
        </is>
      </c>
      <c r="E18" s="10" t="inlineStr">
        <is>
          <t>S4, S5</t>
        </is>
      </c>
      <c r="F18" s="13" t="inlineStr">
        <is>
          <t>Must</t>
        </is>
      </c>
      <c r="G18" s="10" t="n">
        <v>2</v>
      </c>
      <c r="H18" s="10" t="inlineStr">
        <is>
          <t>1.2.4</t>
        </is>
      </c>
      <c r="I18" s="12" t="inlineStr">
        <is>
          <t>Tiket baru otomatis mendapat agent &amp; SLA deadline.</t>
        </is>
      </c>
      <c r="J18" s="10" t="inlineStr">
        <is>
          <t>Hari 2</t>
        </is>
      </c>
      <c r="K18" s="15" t="inlineStr">
        <is>
          <t>Planned</t>
        </is>
      </c>
    </row>
    <row r="19" outlineLevel="1" ht="30" customHeight="1">
      <c r="A19" s="10" t="inlineStr">
        <is>
          <t>1.2.6</t>
        </is>
      </c>
      <c r="B19" s="10" t="n">
        <v>3</v>
      </c>
      <c r="C19" s="11" t="inlineStr">
        <is>
          <t>SLA policy, timer &amp; eskalasi otomatis</t>
        </is>
      </c>
      <c r="D19" s="12" t="inlineStr">
        <is>
          <t>First response &amp; resolution target, cron timer, breach → notifikasi supervisor.</t>
        </is>
      </c>
      <c r="E19" s="10" t="inlineStr">
        <is>
          <t>S7, P1</t>
        </is>
      </c>
      <c r="F19" s="13" t="inlineStr">
        <is>
          <t>Must</t>
        </is>
      </c>
      <c r="G19" s="10" t="n">
        <v>2.5</v>
      </c>
      <c r="H19" s="10" t="inlineStr">
        <is>
          <t>1.2.5</t>
        </is>
      </c>
      <c r="I19" s="12" t="inlineStr">
        <is>
          <t>Uji SLA breach memicu event eskalasi &lt; 1 menit.</t>
        </is>
      </c>
      <c r="J19" s="10" t="inlineStr">
        <is>
          <t>Hari 2</t>
        </is>
      </c>
      <c r="K19" s="15" t="inlineStr">
        <is>
          <t>Planned</t>
        </is>
      </c>
    </row>
    <row r="20" outlineLevel="1" ht="30" customHeight="1">
      <c r="A20" s="10" t="inlineStr">
        <is>
          <t>1.2.7</t>
        </is>
      </c>
      <c r="B20" s="10" t="n">
        <v>3</v>
      </c>
      <c r="C20" s="11" t="inlineStr">
        <is>
          <t>Chat realtime: room, ack, read, typing, presence</t>
        </is>
      </c>
      <c r="D20" s="12" t="inlineStr">
        <is>
          <t>Room per tiket, ack pesan, read receipt, indikator typing, presence agent online.</t>
        </is>
      </c>
      <c r="E20" s="10" t="inlineStr">
        <is>
          <t>S6, A2</t>
        </is>
      </c>
      <c r="F20" s="13" t="inlineStr">
        <is>
          <t>Must</t>
        </is>
      </c>
      <c r="G20" s="10" t="n">
        <v>4</v>
      </c>
      <c r="H20" s="10" t="inlineStr">
        <is>
          <t>1.2.2</t>
        </is>
      </c>
      <c r="I20" s="12" t="inlineStr">
        <is>
          <t>Dua klien berbeda kanal saling menerima pesan &lt; 300 ms.</t>
        </is>
      </c>
      <c r="J20" s="10" t="inlineStr">
        <is>
          <t>Hari 2</t>
        </is>
      </c>
      <c r="K20" s="15" t="inlineStr">
        <is>
          <t>Planned</t>
        </is>
      </c>
    </row>
    <row r="21" outlineLevel="1" ht="30" customHeight="1">
      <c r="A21" s="10" t="inlineStr">
        <is>
          <t>1.2.8</t>
        </is>
      </c>
      <c r="B21" s="10" t="n">
        <v>3</v>
      </c>
      <c r="C21" s="11" t="inlineStr">
        <is>
          <t>Idempotensi &amp; replay pesan</t>
        </is>
      </c>
      <c r="D21" s="12" t="inlineStr">
        <is>
          <t>client_message_id unik, sequence per tiket, sync:since saat reconnect, outbox offline.</t>
        </is>
      </c>
      <c r="E21" s="10" t="inlineStr">
        <is>
          <t>S6</t>
        </is>
      </c>
      <c r="F21" s="13" t="inlineStr">
        <is>
          <t>Must</t>
        </is>
      </c>
      <c r="G21" s="10" t="n">
        <v>3</v>
      </c>
      <c r="H21" s="10" t="inlineStr">
        <is>
          <t>1.2.7</t>
        </is>
      </c>
      <c r="I21" s="12" t="inlineStr">
        <is>
          <t>Kirim ulang pesan yang sama tidak menghasilkan duplikat.</t>
        </is>
      </c>
      <c r="J21" s="10" t="inlineStr">
        <is>
          <t>Hari 2</t>
        </is>
      </c>
      <c r="K21" s="15" t="inlineStr">
        <is>
          <t>Planned</t>
        </is>
      </c>
    </row>
    <row r="22" outlineLevel="1" ht="30" customHeight="1">
      <c r="A22" s="10" t="inlineStr">
        <is>
          <t>1.2.9</t>
        </is>
      </c>
      <c r="B22" s="10" t="n">
        <v>3</v>
      </c>
      <c r="C22" s="11" t="inlineStr">
        <is>
          <t>Lampiran file</t>
        </is>
      </c>
      <c r="D22" s="12" t="inlineStr">
        <is>
          <t>Upload gambar/dokumen, validasi mime &amp; ukuran, penyimpanan lokal, URL aman.</t>
        </is>
      </c>
      <c r="E22" s="10" t="inlineStr">
        <is>
          <t>S6, C3</t>
        </is>
      </c>
      <c r="F22" s="13" t="inlineStr">
        <is>
          <t>Must</t>
        </is>
      </c>
      <c r="G22" s="10" t="n">
        <v>1.5</v>
      </c>
      <c r="H22" s="10" t="inlineStr">
        <is>
          <t>1.2.7</t>
        </is>
      </c>
      <c r="I22" s="12" t="inlineStr">
        <is>
          <t>File &gt; 5 MB dan mime berbahaya ditolak.</t>
        </is>
      </c>
      <c r="J22" s="10" t="inlineStr">
        <is>
          <t>Hari 2</t>
        </is>
      </c>
      <c r="K22" s="15" t="inlineStr">
        <is>
          <t>Planned</t>
        </is>
      </c>
    </row>
    <row r="23" outlineLevel="1" ht="30" customHeight="1">
      <c r="A23" s="10" t="inlineStr">
        <is>
          <t>1.2.10</t>
        </is>
      </c>
      <c r="B23" s="10" t="n">
        <v>3</v>
      </c>
      <c r="C23" s="11" t="inlineStr">
        <is>
          <t>Notifikasi in-app &amp; device token</t>
        </is>
      </c>
      <c r="D23" s="12" t="inlineStr">
        <is>
          <t>Notifikasi tiket/pesan, registrasi token device mobile, penanda sudah dibaca.</t>
        </is>
      </c>
      <c r="E23" s="10" t="inlineStr">
        <is>
          <t>S5, S8</t>
        </is>
      </c>
      <c r="F23" s="13" t="inlineStr">
        <is>
          <t>Must</t>
        </is>
      </c>
      <c r="G23" s="10" t="n">
        <v>1.5</v>
      </c>
      <c r="H23" s="10" t="inlineStr">
        <is>
          <t>1.2.2</t>
        </is>
      </c>
      <c r="I23" s="12" t="inlineStr">
        <is>
          <t>Agent menerima notifikasi saat tiket baru masuk.</t>
        </is>
      </c>
      <c r="J23" s="10" t="inlineStr">
        <is>
          <t>Hari 2</t>
        </is>
      </c>
      <c r="K23" s="15" t="inlineStr">
        <is>
          <t>Planned</t>
        </is>
      </c>
    </row>
    <row r="24" outlineLevel="1" ht="30" customHeight="1">
      <c r="A24" s="10" t="inlineStr">
        <is>
          <t>1.2.11</t>
        </is>
      </c>
      <c r="B24" s="10" t="n">
        <v>3</v>
      </c>
      <c r="C24" s="11" t="inlineStr">
        <is>
          <t>CSAT survey &amp; rekap</t>
        </is>
      </c>
      <c r="D24" s="12" t="inlineStr">
        <is>
          <t>Survey 1-5 + komentar setelah resolved, rekap rata-rata per agent/kategori.</t>
        </is>
      </c>
      <c r="E24" s="10" t="inlineStr">
        <is>
          <t>C4, S8</t>
        </is>
      </c>
      <c r="F24" s="13" t="inlineStr">
        <is>
          <t>Must</t>
        </is>
      </c>
      <c r="G24" s="10" t="n">
        <v>1</v>
      </c>
      <c r="H24" s="10" t="inlineStr">
        <is>
          <t>1.2.4</t>
        </is>
      </c>
      <c r="I24" s="12" t="inlineStr">
        <is>
          <t>Rating tersimpan dan tampil di laporan.</t>
        </is>
      </c>
      <c r="J24" s="10" t="inlineStr">
        <is>
          <t>Hari 2</t>
        </is>
      </c>
      <c r="K24" s="15" t="inlineStr">
        <is>
          <t>Planned</t>
        </is>
      </c>
    </row>
    <row r="25" outlineLevel="1" ht="30" customHeight="1">
      <c r="A25" s="10" t="inlineStr">
        <is>
          <t>1.2.12</t>
        </is>
      </c>
      <c r="B25" s="10" t="n">
        <v>3</v>
      </c>
      <c r="C25" s="11" t="inlineStr">
        <is>
          <t>Audit log &amp; ticket events</t>
        </is>
      </c>
      <c r="D25" s="12" t="inlineStr">
        <is>
          <t>Catat perubahan status, assign, eskalasi, dan aksi admin beserta aktor &amp; waktu.</t>
        </is>
      </c>
      <c r="E25" s="10" t="inlineStr">
        <is>
          <t>D4, A7</t>
        </is>
      </c>
      <c r="F25" s="13" t="inlineStr">
        <is>
          <t>Must</t>
        </is>
      </c>
      <c r="G25" s="10" t="n">
        <v>1.5</v>
      </c>
      <c r="H25" s="10" t="inlineStr">
        <is>
          <t>1.2.4</t>
        </is>
      </c>
      <c r="I25" s="12" t="inlineStr">
        <is>
          <t>Setiap perubahan tiket punya entri audit.</t>
        </is>
      </c>
      <c r="J25" s="10" t="inlineStr">
        <is>
          <t>Hari 2</t>
        </is>
      </c>
      <c r="K25" s="15" t="inlineStr">
        <is>
          <t>Planned</t>
        </is>
      </c>
    </row>
    <row r="26" outlineLevel="1" ht="30" customHeight="1">
      <c r="A26" s="10" t="inlineStr">
        <is>
          <t>1.2.13</t>
        </is>
      </c>
      <c r="B26" s="10" t="n">
        <v>3</v>
      </c>
      <c r="C26" s="11" t="inlineStr">
        <is>
          <t>Canned response &amp; knowledge base</t>
        </is>
      </c>
      <c r="D26" s="12" t="inlineStr">
        <is>
          <t>Template jawaban agent, artikel KB untuk saran AI &amp; self-service.</t>
        </is>
      </c>
      <c r="E26" s="10" t="inlineStr">
        <is>
          <t>D3, S3</t>
        </is>
      </c>
      <c r="F26" s="13" t="inlineStr">
        <is>
          <t>Must</t>
        </is>
      </c>
      <c r="G26" s="10" t="n">
        <v>1.5</v>
      </c>
      <c r="H26" s="10" t="inlineStr">
        <is>
          <t>1.2.1</t>
        </is>
      </c>
      <c r="I26" s="12" t="inlineStr">
        <is>
          <t>Agent dapat menyisipkan template ke chat.</t>
        </is>
      </c>
      <c r="J26" s="10" t="inlineStr">
        <is>
          <t>Hari 2</t>
        </is>
      </c>
      <c r="K26" s="15" t="inlineStr">
        <is>
          <t>Planned</t>
        </is>
      </c>
    </row>
    <row r="27" outlineLevel="1" ht="43" customHeight="1">
      <c r="A27" s="10" t="inlineStr">
        <is>
          <t>1.2.14</t>
        </is>
      </c>
      <c r="B27" s="10" t="n">
        <v>3</v>
      </c>
      <c r="C27" s="11" t="inlineStr">
        <is>
          <t>AI auto-reply (adapter + fallback)</t>
        </is>
      </c>
      <c r="D27" s="12" t="inlineStr">
        <is>
          <t>Adapter OpenAI-compatible via env, guardrail (hanya info dari KB), fallback rule-based bila API key tidak ada, logging token &amp; biaya.</t>
        </is>
      </c>
      <c r="E27" s="10" t="inlineStr">
        <is>
          <t>S2, S3</t>
        </is>
      </c>
      <c r="F27" s="13" t="inlineStr">
        <is>
          <t>Must</t>
        </is>
      </c>
      <c r="G27" s="10" t="n">
        <v>3</v>
      </c>
      <c r="H27" s="10" t="inlineStr">
        <is>
          <t>1.2.13</t>
        </is>
      </c>
      <c r="I27" s="12" t="inlineStr">
        <is>
          <t>Tanpa API key tetap menjawab dari KB; jawaban tercatat.</t>
        </is>
      </c>
      <c r="J27" s="10" t="inlineStr">
        <is>
          <t>Hari 2</t>
        </is>
      </c>
      <c r="K27" s="15" t="inlineStr">
        <is>
          <t>Planned</t>
        </is>
      </c>
    </row>
    <row r="28" outlineLevel="1" ht="30" customHeight="1">
      <c r="A28" s="10" t="inlineStr">
        <is>
          <t>1.2.15</t>
        </is>
      </c>
      <c r="B28" s="10" t="n">
        <v>3</v>
      </c>
      <c r="C28" s="11" t="inlineStr">
        <is>
          <t>API dashboard &amp; laporan</t>
        </is>
      </c>
      <c r="D28" s="12" t="inlineStr">
        <is>
          <t>Volume tiket, first response, resolusi, SLA compliance, CSAT, beban per agent.</t>
        </is>
      </c>
      <c r="E28" s="10" t="inlineStr">
        <is>
          <t>D4, P3</t>
        </is>
      </c>
      <c r="F28" s="13" t="inlineStr">
        <is>
          <t>Must</t>
        </is>
      </c>
      <c r="G28" s="10" t="n">
        <v>2</v>
      </c>
      <c r="H28" s="10" t="inlineStr">
        <is>
          <t>1.2.11</t>
        </is>
      </c>
      <c r="I28" s="12" t="inlineStr">
        <is>
          <t>Angka laporan konsisten dengan data tiket.</t>
        </is>
      </c>
      <c r="J28" s="10" t="inlineStr">
        <is>
          <t>Hari 2</t>
        </is>
      </c>
      <c r="K28" s="15" t="inlineStr">
        <is>
          <t>Planned</t>
        </is>
      </c>
    </row>
    <row r="29" outlineLevel="1" ht="30" customHeight="1">
      <c r="A29" s="10" t="inlineStr">
        <is>
          <t>1.2.16</t>
        </is>
      </c>
      <c r="B29" s="10" t="n">
        <v>3</v>
      </c>
      <c r="C29" s="11" t="inlineStr">
        <is>
          <t>Seed data &amp; akun demo</t>
        </is>
      </c>
      <c r="D29" s="12" t="inlineStr">
        <is>
          <t>4 role, 3 kategori, 12 tiket contoh, 3 agent, artikel KB, canned response.</t>
        </is>
      </c>
      <c r="E29" s="10" t="inlineStr">
        <is>
          <t>D1</t>
        </is>
      </c>
      <c r="F29" s="13" t="inlineStr">
        <is>
          <t>Must</t>
        </is>
      </c>
      <c r="G29" s="10" t="n">
        <v>1</v>
      </c>
      <c r="H29" s="10" t="inlineStr">
        <is>
          <t>1.2.1</t>
        </is>
      </c>
      <c r="I29" s="12" t="inlineStr">
        <is>
          <t>Reviewer dapat login &amp; mencoba alur tanpa setup manual.</t>
        </is>
      </c>
      <c r="J29" s="10" t="inlineStr">
        <is>
          <t>Hari 2</t>
        </is>
      </c>
      <c r="K29" s="15" t="inlineStr">
        <is>
          <t>Planned</t>
        </is>
      </c>
    </row>
    <row r="30" outlineLevel="1" ht="30" customHeight="1">
      <c r="A30" s="10" t="inlineStr">
        <is>
          <t>1.2.17</t>
        </is>
      </c>
      <c r="B30" s="10" t="n">
        <v>3</v>
      </c>
      <c r="C30" s="11" t="inlineStr">
        <is>
          <t>Unit + integration test</t>
        </is>
      </c>
      <c r="D30" s="12" t="inlineStr">
        <is>
          <t>Vitest untuk service tiket &amp; SLA; integration test 2 klien Socket.IO + replay.</t>
        </is>
      </c>
      <c r="E30" s="10" t="inlineStr">
        <is>
          <t>S6</t>
        </is>
      </c>
      <c r="F30" s="13" t="inlineStr">
        <is>
          <t>Must</t>
        </is>
      </c>
      <c r="G30" s="10" t="n">
        <v>2.5</v>
      </c>
      <c r="H30" s="10" t="inlineStr">
        <is>
          <t>1.2.8</t>
        </is>
      </c>
      <c r="I30" s="12" t="inlineStr">
        <is>
          <t>`npm test` hijau dengan coverage service &gt; 70%.</t>
        </is>
      </c>
      <c r="J30" s="10" t="inlineStr">
        <is>
          <t>Hari 2</t>
        </is>
      </c>
      <c r="K30" s="15" t="inlineStr">
        <is>
          <t>Planned</t>
        </is>
      </c>
    </row>
    <row r="31" outlineLevel="1" ht="30" customHeight="1">
      <c r="A31" s="10" t="inlineStr">
        <is>
          <t>1.2.18</t>
        </is>
      </c>
      <c r="B31" s="10" t="n">
        <v>3</v>
      </c>
      <c r="C31" s="11" t="inlineStr">
        <is>
          <t>Rate limit &amp; hardening</t>
        </is>
      </c>
      <c r="D31" s="12" t="inlineStr">
        <is>
          <t>Rate limit auth/chat, sanitasi input, helmet, validasi skema request.</t>
        </is>
      </c>
      <c r="E31" s="10" t="inlineStr">
        <is>
          <t>S6</t>
        </is>
      </c>
      <c r="F31" s="16" t="inlineStr">
        <is>
          <t>Should</t>
        </is>
      </c>
      <c r="G31" s="10" t="n">
        <v>1.5</v>
      </c>
      <c r="H31" s="10" t="inlineStr">
        <is>
          <t>1.2.2</t>
        </is>
      </c>
      <c r="I31" s="12" t="inlineStr">
        <is>
          <t>Uji brute force login terblokir sementara.</t>
        </is>
      </c>
      <c r="J31" s="10" t="inlineStr">
        <is>
          <t>Hari 2</t>
        </is>
      </c>
      <c r="K31" s="15" t="inlineStr">
        <is>
          <t>Planned</t>
        </is>
      </c>
    </row>
    <row r="32" outlineLevel="1" ht="20" customHeight="1">
      <c r="A32" s="10" t="inlineStr">
        <is>
          <t>1.2.19</t>
        </is>
      </c>
      <c r="B32" s="10" t="n">
        <v>3</v>
      </c>
      <c r="C32" s="11" t="inlineStr">
        <is>
          <t>Export laporan CSV</t>
        </is>
      </c>
      <c r="D32" s="12" t="inlineStr">
        <is>
          <t>Ekspor tiket &amp; CSAT untuk kebutuhan evaluasi supervisor.</t>
        </is>
      </c>
      <c r="E32" s="10" t="inlineStr">
        <is>
          <t>D4</t>
        </is>
      </c>
      <c r="F32" s="17" t="inlineStr">
        <is>
          <t>Could</t>
        </is>
      </c>
      <c r="G32" s="10" t="n">
        <v>1.5</v>
      </c>
      <c r="H32" s="10" t="inlineStr">
        <is>
          <t>1.2.15</t>
        </is>
      </c>
      <c r="I32" s="12" t="inlineStr">
        <is>
          <t>File CSV terbuka benar di Excel.</t>
        </is>
      </c>
      <c r="J32" s="10" t="inlineStr">
        <is>
          <t>Hari 3</t>
        </is>
      </c>
      <c r="K32" s="15" t="inlineStr">
        <is>
          <t>Planned</t>
        </is>
      </c>
    </row>
    <row r="33" ht="22" customHeight="1">
      <c r="A33" s="7" t="inlineStr">
        <is>
          <t>1.3</t>
        </is>
      </c>
      <c r="B33" s="7" t="n">
        <v>2</v>
      </c>
      <c r="C33" s="8" t="inlineStr">
        <is>
          <t>Web App — Agent Dashboard</t>
        </is>
      </c>
      <c r="D33" s="9" t="inlineStr">
        <is>
          <t>Dashboard realtime untuk CS agent, supervisor, dan admin.</t>
        </is>
      </c>
      <c r="E33" s="7" t="inlineStr">
        <is>
          <t>A1-A7, P1-P3, D1-D4</t>
        </is>
      </c>
      <c r="F33" s="7" t="inlineStr">
        <is>
          <t>Must</t>
        </is>
      </c>
      <c r="G33" s="7" t="n">
        <v>16.5</v>
      </c>
      <c r="H33" s="7" t="inlineStr">
        <is>
          <t>1.2</t>
        </is>
      </c>
      <c r="I33" s="9" t="inlineStr">
        <is>
          <t>Agent dapat menangani tiket penuh dari web.</t>
        </is>
      </c>
      <c r="J33" s="7" t="inlineStr">
        <is>
          <t>Hari 2-3</t>
        </is>
      </c>
      <c r="K33" s="7" t="inlineStr">
        <is>
          <t>Planned</t>
        </is>
      </c>
    </row>
    <row r="34" outlineLevel="1" ht="30" customHeight="1">
      <c r="A34" s="10" t="inlineStr">
        <is>
          <t>1.3.1</t>
        </is>
      </c>
      <c r="B34" s="10" t="n">
        <v>3</v>
      </c>
      <c r="C34" s="11" t="inlineStr">
        <is>
          <t>Setup SPA, routing &amp; state</t>
        </is>
      </c>
      <c r="D34" s="12" t="inlineStr">
        <is>
          <t>Vite + React/Vanilla JS terstruktur, layout, tema, state management ringan.</t>
        </is>
      </c>
      <c r="E34" s="10" t="inlineStr">
        <is>
          <t>—</t>
        </is>
      </c>
      <c r="F34" s="13" t="inlineStr">
        <is>
          <t>Must</t>
        </is>
      </c>
      <c r="G34" s="10" t="n">
        <v>1.5</v>
      </c>
      <c r="H34" s="10" t="inlineStr">
        <is>
          <t>1.1.5</t>
        </is>
      </c>
      <c r="I34" s="12" t="inlineStr">
        <is>
          <t>Build produksi &lt; 1 MB gzip, tanpa error console.</t>
        </is>
      </c>
      <c r="J34" s="10" t="inlineStr">
        <is>
          <t>Hari 2</t>
        </is>
      </c>
      <c r="K34" s="15" t="inlineStr">
        <is>
          <t>Planned</t>
        </is>
      </c>
    </row>
    <row r="35" outlineLevel="1" ht="30" customHeight="1">
      <c r="A35" s="10" t="inlineStr">
        <is>
          <t>1.3.2</t>
        </is>
      </c>
      <c r="B35" s="10" t="n">
        <v>3</v>
      </c>
      <c r="C35" s="11" t="inlineStr">
        <is>
          <t>Login &amp; route guard</t>
        </is>
      </c>
      <c r="D35" s="12" t="inlineStr">
        <is>
          <t>Form login, penyimpanan token aman, redirect sesuai role.</t>
        </is>
      </c>
      <c r="E35" s="10" t="inlineStr">
        <is>
          <t>S1</t>
        </is>
      </c>
      <c r="F35" s="13" t="inlineStr">
        <is>
          <t>Must</t>
        </is>
      </c>
      <c r="G35" s="10" t="n">
        <v>1</v>
      </c>
      <c r="H35" s="10" t="inlineStr">
        <is>
          <t>1.2.2</t>
        </is>
      </c>
      <c r="I35" s="12" t="inlineStr">
        <is>
          <t>Role tidak berhak tidak bisa membuka halaman admin.</t>
        </is>
      </c>
      <c r="J35" s="10" t="inlineStr">
        <is>
          <t>Hari 2</t>
        </is>
      </c>
      <c r="K35" s="15" t="inlineStr">
        <is>
          <t>Planned</t>
        </is>
      </c>
    </row>
    <row r="36" outlineLevel="1" ht="30" customHeight="1">
      <c r="A36" s="10" t="inlineStr">
        <is>
          <t>1.3.3</t>
        </is>
      </c>
      <c r="B36" s="10" t="n">
        <v>3</v>
      </c>
      <c r="C36" s="11" t="inlineStr">
        <is>
          <t>Inbox tiket: filter &amp; pencarian</t>
        </is>
      </c>
      <c r="D36" s="12" t="inlineStr">
        <is>
          <t>Daftar tiket dengan status, prioritas, assignee, SLA; pencarian kode/subjek.</t>
        </is>
      </c>
      <c r="E36" s="10" t="inlineStr">
        <is>
          <t>A1, D4</t>
        </is>
      </c>
      <c r="F36" s="13" t="inlineStr">
        <is>
          <t>Must</t>
        </is>
      </c>
      <c r="G36" s="10" t="n">
        <v>2.5</v>
      </c>
      <c r="H36" s="10" t="inlineStr">
        <is>
          <t>1.2.4</t>
        </is>
      </c>
      <c r="I36" s="12" t="inlineStr">
        <is>
          <t>Filter kombinasi menghasilkan daftar yang benar.</t>
        </is>
      </c>
      <c r="J36" s="10" t="inlineStr">
        <is>
          <t>Hari 3</t>
        </is>
      </c>
      <c r="K36" s="15" t="inlineStr">
        <is>
          <t>Planned</t>
        </is>
      </c>
    </row>
    <row r="37" outlineLevel="1" ht="30" customHeight="1">
      <c r="A37" s="10" t="inlineStr">
        <is>
          <t>1.3.4</t>
        </is>
      </c>
      <c r="B37" s="10" t="n">
        <v>3</v>
      </c>
      <c r="C37" s="11" t="inlineStr">
        <is>
          <t>Detail tiket &amp; chat realtime</t>
        </is>
      </c>
      <c r="D37" s="12" t="inlineStr">
        <is>
          <t>Thread pesan, status koneksi, retry, lampiran, riwayat status &amp; audit.</t>
        </is>
      </c>
      <c r="E37" s="10" t="inlineStr">
        <is>
          <t>S6, A2</t>
        </is>
      </c>
      <c r="F37" s="13" t="inlineStr">
        <is>
          <t>Must</t>
        </is>
      </c>
      <c r="G37" s="10" t="n">
        <v>3</v>
      </c>
      <c r="H37" s="10" t="inlineStr">
        <is>
          <t>1.2.7</t>
        </is>
      </c>
      <c r="I37" s="12" t="inlineStr">
        <is>
          <t>Pesan muncul realtime dari widget &amp; mobile.</t>
        </is>
      </c>
      <c r="J37" s="10" t="inlineStr">
        <is>
          <t>Hari 3</t>
        </is>
      </c>
      <c r="K37" s="15" t="inlineStr">
        <is>
          <t>Planned</t>
        </is>
      </c>
    </row>
    <row r="38" outlineLevel="1" ht="30" customHeight="1">
      <c r="A38" s="10" t="inlineStr">
        <is>
          <t>1.3.5</t>
        </is>
      </c>
      <c r="B38" s="10" t="n">
        <v>3</v>
      </c>
      <c r="C38" s="11" t="inlineStr">
        <is>
          <t>Aksi tiket</t>
        </is>
      </c>
      <c r="D38" s="12" t="inlineStr">
        <is>
          <t>Assign/transfer, ubah status &amp; prioritas, eskalasi L2, reopen, tutup tiket.</t>
        </is>
      </c>
      <c r="E38" s="10" t="inlineStr">
        <is>
          <t>A3, A5, A7</t>
        </is>
      </c>
      <c r="F38" s="13" t="inlineStr">
        <is>
          <t>Must</t>
        </is>
      </c>
      <c r="G38" s="10" t="n">
        <v>1.5</v>
      </c>
      <c r="H38" s="10" t="inlineStr">
        <is>
          <t>1.3.4</t>
        </is>
      </c>
      <c r="I38" s="12" t="inlineStr">
        <is>
          <t>Setiap aksi tercatat di ticket events.</t>
        </is>
      </c>
      <c r="J38" s="10" t="inlineStr">
        <is>
          <t>Hari 3</t>
        </is>
      </c>
      <c r="K38" s="15" t="inlineStr">
        <is>
          <t>Planned</t>
        </is>
      </c>
    </row>
    <row r="39" outlineLevel="1" ht="30" customHeight="1">
      <c r="A39" s="10" t="inlineStr">
        <is>
          <t>1.3.6</t>
        </is>
      </c>
      <c r="B39" s="10" t="n">
        <v>3</v>
      </c>
      <c r="C39" s="11" t="inlineStr">
        <is>
          <t>Canned response &amp; internal note</t>
        </is>
      </c>
      <c r="D39" s="12" t="inlineStr">
        <is>
          <t>Sisipkan template, catatan internal yang tidak terlihat customer.</t>
        </is>
      </c>
      <c r="E39" s="10" t="inlineStr">
        <is>
          <t>D3</t>
        </is>
      </c>
      <c r="F39" s="13" t="inlineStr">
        <is>
          <t>Must</t>
        </is>
      </c>
      <c r="G39" s="10" t="n">
        <v>1.5</v>
      </c>
      <c r="H39" s="10" t="inlineStr">
        <is>
          <t>1.2.13</t>
        </is>
      </c>
      <c r="I39" s="12" t="inlineStr">
        <is>
          <t>Internal note tidak pernah terkirim ke kanal customer.</t>
        </is>
      </c>
      <c r="J39" s="10" t="inlineStr">
        <is>
          <t>Hari 3</t>
        </is>
      </c>
      <c r="K39" s="15" t="inlineStr">
        <is>
          <t>Planned</t>
        </is>
      </c>
    </row>
    <row r="40" outlineLevel="1" ht="20" customHeight="1">
      <c r="A40" s="10" t="inlineStr">
        <is>
          <t>1.3.7</t>
        </is>
      </c>
      <c r="B40" s="10" t="n">
        <v>3</v>
      </c>
      <c r="C40" s="11" t="inlineStr">
        <is>
          <t>SLA badge, timer &amp; CSAT</t>
        </is>
      </c>
      <c r="D40" s="12" t="inlineStr">
        <is>
          <t>Countdown SLA, badge breach, tampilan rating CSAT per tiket.</t>
        </is>
      </c>
      <c r="E40" s="10" t="inlineStr">
        <is>
          <t>S7, C4</t>
        </is>
      </c>
      <c r="F40" s="13" t="inlineStr">
        <is>
          <t>Must</t>
        </is>
      </c>
      <c r="G40" s="10" t="n">
        <v>1</v>
      </c>
      <c r="H40" s="10" t="inlineStr">
        <is>
          <t>1.2.6</t>
        </is>
      </c>
      <c r="I40" s="12" t="inlineStr">
        <is>
          <t>Warna badge berubah sebelum &amp; sesudah breach.</t>
        </is>
      </c>
      <c r="J40" s="10" t="inlineStr">
        <is>
          <t>Hari 3</t>
        </is>
      </c>
      <c r="K40" s="15" t="inlineStr">
        <is>
          <t>Planned</t>
        </is>
      </c>
    </row>
    <row r="41" outlineLevel="1" ht="30" customHeight="1">
      <c r="A41" s="10" t="inlineStr">
        <is>
          <t>1.3.8</t>
        </is>
      </c>
      <c r="B41" s="10" t="n">
        <v>3</v>
      </c>
      <c r="C41" s="11" t="inlineStr">
        <is>
          <t>Dashboard supervisor &amp; laporan</t>
        </is>
      </c>
      <c r="D41" s="12" t="inlineStr">
        <is>
          <t>Grafik volume, SLA compliance, CSAT, beban agent; filter rentang tanggal.</t>
        </is>
      </c>
      <c r="E41" s="10" t="inlineStr">
        <is>
          <t>P2, P3, D4</t>
        </is>
      </c>
      <c r="F41" s="13" t="inlineStr">
        <is>
          <t>Must</t>
        </is>
      </c>
      <c r="G41" s="10" t="n">
        <v>1.5</v>
      </c>
      <c r="H41" s="10" t="inlineStr">
        <is>
          <t>1.2.15</t>
        </is>
      </c>
      <c r="I41" s="12" t="inlineStr">
        <is>
          <t>Angka dashboard sama dengan API laporan.</t>
        </is>
      </c>
      <c r="J41" s="10" t="inlineStr">
        <is>
          <t>Hari 3</t>
        </is>
      </c>
      <c r="K41" s="15" t="inlineStr">
        <is>
          <t>Planned</t>
        </is>
      </c>
    </row>
    <row r="42" outlineLevel="1" ht="30" customHeight="1">
      <c r="A42" s="10" t="inlineStr">
        <is>
          <t>1.3.9</t>
        </is>
      </c>
      <c r="B42" s="10" t="n">
        <v>3</v>
      </c>
      <c r="C42" s="11" t="inlineStr">
        <is>
          <t>Admin panel</t>
        </is>
      </c>
      <c r="D42" s="12" t="inlineStr">
        <is>
          <t>Kelola user, kategori, kebijakan SLA, knowledge base, canned response.</t>
        </is>
      </c>
      <c r="E42" s="10" t="inlineStr">
        <is>
          <t>D1-D3</t>
        </is>
      </c>
      <c r="F42" s="13" t="inlineStr">
        <is>
          <t>Must</t>
        </is>
      </c>
      <c r="G42" s="10" t="n">
        <v>2</v>
      </c>
      <c r="H42" s="10" t="inlineStr">
        <is>
          <t>1.2.3</t>
        </is>
      </c>
      <c r="I42" s="12" t="inlineStr">
        <is>
          <t>Perubahan konfigurasi langsung dipakai tiket baru.</t>
        </is>
      </c>
      <c r="J42" s="10" t="inlineStr">
        <is>
          <t>Hari 3</t>
        </is>
      </c>
      <c r="K42" s="15" t="inlineStr">
        <is>
          <t>Planned</t>
        </is>
      </c>
    </row>
    <row r="43" outlineLevel="1" ht="30" customHeight="1">
      <c r="A43" s="10" t="inlineStr">
        <is>
          <t>1.3.10</t>
        </is>
      </c>
      <c r="B43" s="10" t="n">
        <v>3</v>
      </c>
      <c r="C43" s="11" t="inlineStr">
        <is>
          <t>Notifikasi browser &amp; responsif</t>
        </is>
      </c>
      <c r="D43" s="12" t="inlineStr">
        <is>
          <t>Web notification saat tab tidak aktif, layout responsif 1280-1920 px.</t>
        </is>
      </c>
      <c r="E43" s="10" t="inlineStr">
        <is>
          <t>S5</t>
        </is>
      </c>
      <c r="F43" s="16" t="inlineStr">
        <is>
          <t>Should</t>
        </is>
      </c>
      <c r="G43" s="10" t="n">
        <v>1</v>
      </c>
      <c r="H43" s="10" t="inlineStr">
        <is>
          <t>1.3.4</t>
        </is>
      </c>
      <c r="I43" s="12" t="inlineStr">
        <is>
          <t>Notifikasi muncul saat tab background (izin diberikan).</t>
        </is>
      </c>
      <c r="J43" s="10" t="inlineStr">
        <is>
          <t>Hari 3</t>
        </is>
      </c>
      <c r="K43" s="15" t="inlineStr">
        <is>
          <t>Planned</t>
        </is>
      </c>
    </row>
    <row r="44" ht="22" customHeight="1">
      <c r="A44" s="7" t="inlineStr">
        <is>
          <t>1.4</t>
        </is>
      </c>
      <c r="B44" s="7" t="n">
        <v>2</v>
      </c>
      <c r="C44" s="8" t="inlineStr">
        <is>
          <t>Live Chat Widget (JavaScript)</t>
        </is>
      </c>
      <c r="D44" s="9" t="inlineStr">
        <is>
          <t>Widget embed di kanan bawah, terhubung realtime ke web &amp; mobile.</t>
        </is>
      </c>
      <c r="E44" s="7" t="inlineStr">
        <is>
          <t>C1-C3, S6</t>
        </is>
      </c>
      <c r="F44" s="7" t="inlineStr">
        <is>
          <t>Must</t>
        </is>
      </c>
      <c r="G44" s="7" t="n">
        <v>8.5</v>
      </c>
      <c r="H44" s="7" t="inlineStr">
        <is>
          <t>1.2</t>
        </is>
      </c>
      <c r="I44" s="9" t="inlineStr">
        <is>
          <t>Widget dapat dipasang di halaman uji &amp; chat lancar.</t>
        </is>
      </c>
      <c r="J44" s="7" t="inlineStr">
        <is>
          <t>Hari 2</t>
        </is>
      </c>
      <c r="K44" s="7" t="inlineStr">
        <is>
          <t>Planned</t>
        </is>
      </c>
    </row>
    <row r="45" outlineLevel="1" ht="30" customHeight="1">
      <c r="A45" s="10" t="inlineStr">
        <is>
          <t>1.4.1</t>
        </is>
      </c>
      <c r="B45" s="10" t="n">
        <v>3</v>
      </c>
      <c r="C45" s="11" t="inlineStr">
        <is>
          <t>Embed script &amp; konfigurasi</t>
        </is>
      </c>
      <c r="D45" s="12" t="inlineStr">
        <is>
          <t>Satu file JS + snippet, konfigurasi server URL, tema, dan teks sambutan.</t>
        </is>
      </c>
      <c r="E45" s="10" t="inlineStr">
        <is>
          <t>C1</t>
        </is>
      </c>
      <c r="F45" s="13" t="inlineStr">
        <is>
          <t>Must</t>
        </is>
      </c>
      <c r="G45" s="10" t="n">
        <v>1.5</v>
      </c>
      <c r="H45" s="10" t="inlineStr">
        <is>
          <t>1.2.2</t>
        </is>
      </c>
      <c r="I45" s="12" t="inlineStr">
        <is>
          <t>Snippet satu baris berhasil memuat widget.</t>
        </is>
      </c>
      <c r="J45" s="10" t="inlineStr">
        <is>
          <t>Hari 2</t>
        </is>
      </c>
      <c r="K45" s="15" t="inlineStr">
        <is>
          <t>Planned</t>
        </is>
      </c>
    </row>
    <row r="46" outlineLevel="1" ht="30" customHeight="1">
      <c r="A46" s="10" t="inlineStr">
        <is>
          <t>1.4.2</t>
        </is>
      </c>
      <c r="B46" s="10" t="n">
        <v>3</v>
      </c>
      <c r="C46" s="11" t="inlineStr">
        <is>
          <t>Bubble &amp; panel chat kanan bawah</t>
        </is>
      </c>
      <c r="D46" s="12" t="inlineStr">
        <is>
          <t>Tombol mengambang, panel chat, minimize, badge unread, mobile-friendly.</t>
        </is>
      </c>
      <c r="E46" s="10" t="inlineStr">
        <is>
          <t>C1</t>
        </is>
      </c>
      <c r="F46" s="13" t="inlineStr">
        <is>
          <t>Must</t>
        </is>
      </c>
      <c r="G46" s="10" t="n">
        <v>1.5</v>
      </c>
      <c r="H46" s="10" t="inlineStr">
        <is>
          <t>1.4.1</t>
        </is>
      </c>
      <c r="I46" s="12" t="inlineStr">
        <is>
          <t>Tampil benar di desktop &amp; mobile viewport.</t>
        </is>
      </c>
      <c r="J46" s="10" t="inlineStr">
        <is>
          <t>Hari 2</t>
        </is>
      </c>
      <c r="K46" s="15" t="inlineStr">
        <is>
          <t>Planned</t>
        </is>
      </c>
    </row>
    <row r="47" outlineLevel="1" ht="20" customHeight="1">
      <c r="A47" s="10" t="inlineStr">
        <is>
          <t>1.4.3</t>
        </is>
      </c>
      <c r="B47" s="10" t="n">
        <v>3</v>
      </c>
      <c r="C47" s="11" t="inlineStr">
        <is>
          <t>Pre-chat form &amp; sesi guest</t>
        </is>
      </c>
      <c r="D47" s="12" t="inlineStr">
        <is>
          <t>Nama, email, kategori; sesi guest persisten tanpa login.</t>
        </is>
      </c>
      <c r="E47" s="10" t="inlineStr">
        <is>
          <t>C2, S1</t>
        </is>
      </c>
      <c r="F47" s="13" t="inlineStr">
        <is>
          <t>Must</t>
        </is>
      </c>
      <c r="G47" s="10" t="n">
        <v>1</v>
      </c>
      <c r="H47" s="10" t="inlineStr">
        <is>
          <t>1.4.1</t>
        </is>
      </c>
      <c r="I47" s="12" t="inlineStr">
        <is>
          <t>Refresh halaman mempertahankan riwayat sesi.</t>
        </is>
      </c>
      <c r="J47" s="10" t="inlineStr">
        <is>
          <t>Hari 2</t>
        </is>
      </c>
      <c r="K47" s="15" t="inlineStr">
        <is>
          <t>Planned</t>
        </is>
      </c>
    </row>
    <row r="48" outlineLevel="1" ht="30" customHeight="1">
      <c r="A48" s="10" t="inlineStr">
        <is>
          <t>1.4.4</t>
        </is>
      </c>
      <c r="B48" s="10" t="n">
        <v>3</v>
      </c>
      <c r="C48" s="11" t="inlineStr">
        <is>
          <t>Chat realtime &amp; indikator koneksi</t>
        </is>
      </c>
      <c r="D48" s="12" t="inlineStr">
        <is>
          <t>Kirim/terima pesan, status online agent, typing, read receipt.</t>
        </is>
      </c>
      <c r="E48" s="10" t="inlineStr">
        <is>
          <t>S6</t>
        </is>
      </c>
      <c r="F48" s="13" t="inlineStr">
        <is>
          <t>Must</t>
        </is>
      </c>
      <c r="G48" s="10" t="n">
        <v>1.5</v>
      </c>
      <c r="H48" s="10" t="inlineStr">
        <is>
          <t>1.2.7</t>
        </is>
      </c>
      <c r="I48" s="12" t="inlineStr">
        <is>
          <t>Pesan widget tampil &lt; 1 detik di dashboard agent.</t>
        </is>
      </c>
      <c r="J48" s="10" t="inlineStr">
        <is>
          <t>Hari 2</t>
        </is>
      </c>
      <c r="K48" s="15" t="inlineStr">
        <is>
          <t>Planned</t>
        </is>
      </c>
    </row>
    <row r="49" outlineLevel="1" ht="30" customHeight="1">
      <c r="A49" s="10" t="inlineStr">
        <is>
          <t>1.4.5</t>
        </is>
      </c>
      <c r="B49" s="10" t="n">
        <v>3</v>
      </c>
      <c r="C49" s="11" t="inlineStr">
        <is>
          <t>Offline queue, retry &amp; dedupe</t>
        </is>
      </c>
      <c r="D49" s="12" t="inlineStr">
        <is>
          <t>Simpan pesan saat offline, kirim ulang dengan backoff, cegah duplikat.</t>
        </is>
      </c>
      <c r="E49" s="10" t="inlineStr">
        <is>
          <t>S6</t>
        </is>
      </c>
      <c r="F49" s="13" t="inlineStr">
        <is>
          <t>Must</t>
        </is>
      </c>
      <c r="G49" s="10" t="n">
        <v>1.5</v>
      </c>
      <c r="H49" s="10" t="inlineStr">
        <is>
          <t>1.2.8</t>
        </is>
      </c>
      <c r="I49" s="12" t="inlineStr">
        <is>
          <t>Matikan jaringan → pesan terkirim sekali setelah pulih.</t>
        </is>
      </c>
      <c r="J49" s="10" t="inlineStr">
        <is>
          <t>Hari 2</t>
        </is>
      </c>
      <c r="K49" s="15" t="inlineStr">
        <is>
          <t>Planned</t>
        </is>
      </c>
    </row>
    <row r="50" outlineLevel="1" ht="30" customHeight="1">
      <c r="A50" s="10" t="inlineStr">
        <is>
          <t>1.4.6</t>
        </is>
      </c>
      <c r="B50" s="10" t="n">
        <v>3</v>
      </c>
      <c r="C50" s="11" t="inlineStr">
        <is>
          <t>Lampiran &amp; validasi</t>
        </is>
      </c>
      <c r="D50" s="12" t="inlineStr">
        <is>
          <t>Upload gambar/dokumen dari widget, batas ukuran &amp; tipe.</t>
        </is>
      </c>
      <c r="E50" s="10" t="inlineStr">
        <is>
          <t>S6</t>
        </is>
      </c>
      <c r="F50" s="13" t="inlineStr">
        <is>
          <t>Must</t>
        </is>
      </c>
      <c r="G50" s="10" t="n">
        <v>0.5</v>
      </c>
      <c r="H50" s="10" t="inlineStr">
        <is>
          <t>1.2.9</t>
        </is>
      </c>
      <c r="I50" s="12" t="inlineStr">
        <is>
          <t>File valid terkirim, file invalid ditolak dengan pesan.</t>
        </is>
      </c>
      <c r="J50" s="10" t="inlineStr">
        <is>
          <t>Hari 2</t>
        </is>
      </c>
      <c r="K50" s="15" t="inlineStr">
        <is>
          <t>Planned</t>
        </is>
      </c>
    </row>
    <row r="51" outlineLevel="1" ht="20" customHeight="1">
      <c r="A51" s="10" t="inlineStr">
        <is>
          <t>1.4.7</t>
        </is>
      </c>
      <c r="B51" s="10" t="n">
        <v>3</v>
      </c>
      <c r="C51" s="11" t="inlineStr">
        <is>
          <t>CSAT, end session &amp; persistensi</t>
        </is>
      </c>
      <c r="D51" s="12" t="inlineStr">
        <is>
          <t>Form rating setelah resolved, akhiri sesi, sinkron antar tab.</t>
        </is>
      </c>
      <c r="E51" s="10" t="inlineStr">
        <is>
          <t>C4</t>
        </is>
      </c>
      <c r="F51" s="13" t="inlineStr">
        <is>
          <t>Must</t>
        </is>
      </c>
      <c r="G51" s="10" t="n">
        <v>0.5</v>
      </c>
      <c r="H51" s="10" t="inlineStr">
        <is>
          <t>1.3.7</t>
        </is>
      </c>
      <c r="I51" s="12" t="inlineStr">
        <is>
          <t>Rating masuk ke tiket; dua tab tetap sinkron.</t>
        </is>
      </c>
      <c r="J51" s="10" t="inlineStr">
        <is>
          <t>Hari 2</t>
        </is>
      </c>
      <c r="K51" s="15" t="inlineStr">
        <is>
          <t>Planned</t>
        </is>
      </c>
    </row>
    <row r="52" outlineLevel="1" ht="20" customHeight="1">
      <c r="A52" s="10" t="inlineStr">
        <is>
          <t>1.4.8</t>
        </is>
      </c>
      <c r="B52" s="10" t="n">
        <v>3</v>
      </c>
      <c r="C52" s="11" t="inlineStr">
        <is>
          <t>Branding &amp; animasi widget</t>
        </is>
      </c>
      <c r="D52" s="12" t="inlineStr">
        <is>
          <t>Kustom logo/warna, animasi buka-tutup halus.</t>
        </is>
      </c>
      <c r="E52" s="10" t="inlineStr">
        <is>
          <t>—</t>
        </is>
      </c>
      <c r="F52" s="17" t="inlineStr">
        <is>
          <t>Could</t>
        </is>
      </c>
      <c r="G52" s="10" t="n">
        <v>0.5</v>
      </c>
      <c r="H52" s="10" t="inlineStr">
        <is>
          <t>1.4.2</t>
        </is>
      </c>
      <c r="I52" s="12" t="inlineStr">
        <is>
          <t>Konfigurasi branding berubah tanpa rebuild.</t>
        </is>
      </c>
      <c r="J52" s="10" t="inlineStr">
        <is>
          <t>Hari 3</t>
        </is>
      </c>
      <c r="K52" s="15" t="inlineStr">
        <is>
          <t>Planned</t>
        </is>
      </c>
    </row>
    <row r="53" ht="31" customHeight="1">
      <c r="A53" s="7" t="inlineStr">
        <is>
          <t>1.5</t>
        </is>
      </c>
      <c r="B53" s="7" t="n">
        <v>2</v>
      </c>
      <c r="C53" s="8" t="inlineStr">
        <is>
          <t>Mobile App (Flutter)</t>
        </is>
      </c>
      <c r="D53" s="9" t="inlineStr">
        <is>
          <t>Aplikasi customer &amp; agent mode, realtime, offline queue, local notification.</t>
        </is>
      </c>
      <c r="E53" s="7" t="inlineStr">
        <is>
          <t>C1-C5, A2</t>
        </is>
      </c>
      <c r="F53" s="7" t="inlineStr">
        <is>
          <t>Must</t>
        </is>
      </c>
      <c r="G53" s="7" t="n">
        <v>17</v>
      </c>
      <c r="H53" s="7" t="inlineStr">
        <is>
          <t>1.2</t>
        </is>
      </c>
      <c r="I53" s="9" t="inlineStr">
        <is>
          <t>APK release terpasang dan terhubung ke server.</t>
        </is>
      </c>
      <c r="J53" s="7" t="inlineStr">
        <is>
          <t>Hari 3</t>
        </is>
      </c>
      <c r="K53" s="7" t="inlineStr">
        <is>
          <t>Planned</t>
        </is>
      </c>
    </row>
    <row r="54" outlineLevel="1" ht="20" customHeight="1">
      <c r="A54" s="10" t="inlineStr">
        <is>
          <t>1.5.1</t>
        </is>
      </c>
      <c r="B54" s="10" t="n">
        <v>3</v>
      </c>
      <c r="C54" s="11" t="inlineStr">
        <is>
          <t>Setup proyek, tema &amp; routing</t>
        </is>
      </c>
      <c r="D54" s="12" t="inlineStr">
        <is>
          <t>Struktur fitur, tema, go_router, konstanta endpoint.</t>
        </is>
      </c>
      <c r="E54" s="10" t="inlineStr">
        <is>
          <t>—</t>
        </is>
      </c>
      <c r="F54" s="13" t="inlineStr">
        <is>
          <t>Must</t>
        </is>
      </c>
      <c r="G54" s="10" t="n">
        <v>1.5</v>
      </c>
      <c r="H54" s="10" t="inlineStr">
        <is>
          <t>1.1.4</t>
        </is>
      </c>
      <c r="I54" s="12" t="inlineStr">
        <is>
          <t>`flutter analyze` bersih, build debug sukses.</t>
        </is>
      </c>
      <c r="J54" s="10" t="inlineStr">
        <is>
          <t>Hari 3</t>
        </is>
      </c>
      <c r="K54" s="15" t="inlineStr">
        <is>
          <t>Planned</t>
        </is>
      </c>
    </row>
    <row r="55" outlineLevel="1" ht="30" customHeight="1">
      <c r="A55" s="10" t="inlineStr">
        <is>
          <t>1.5.2</t>
        </is>
      </c>
      <c r="B55" s="10" t="n">
        <v>3</v>
      </c>
      <c r="C55" s="11" t="inlineStr">
        <is>
          <t>Auth &amp; secure storage</t>
        </is>
      </c>
      <c r="D55" s="12" t="inlineStr">
        <is>
          <t>Login customer/agent, simpan token di secure storage, auto-login.</t>
        </is>
      </c>
      <c r="E55" s="10" t="inlineStr">
        <is>
          <t>S1</t>
        </is>
      </c>
      <c r="F55" s="13" t="inlineStr">
        <is>
          <t>Must</t>
        </is>
      </c>
      <c r="G55" s="10" t="n">
        <v>1.5</v>
      </c>
      <c r="H55" s="10" t="inlineStr">
        <is>
          <t>1.2.2</t>
        </is>
      </c>
      <c r="I55" s="12" t="inlineStr">
        <is>
          <t>Token tidak tersimpan plaintext; logout menghapus sesi.</t>
        </is>
      </c>
      <c r="J55" s="10" t="inlineStr">
        <is>
          <t>Hari 3</t>
        </is>
      </c>
      <c r="K55" s="15" t="inlineStr">
        <is>
          <t>Planned</t>
        </is>
      </c>
    </row>
    <row r="56" outlineLevel="1" ht="20" customHeight="1">
      <c r="A56" s="10" t="inlineStr">
        <is>
          <t>1.5.3</t>
        </is>
      </c>
      <c r="B56" s="10" t="n">
        <v>3</v>
      </c>
      <c r="C56" s="11" t="inlineStr">
        <is>
          <t>Daftar &amp; detail tiket</t>
        </is>
      </c>
      <c r="D56" s="12" t="inlineStr">
        <is>
          <t>List tiket, status, prioritas, detail + riwayat.</t>
        </is>
      </c>
      <c r="E56" s="10" t="inlineStr">
        <is>
          <t>A1</t>
        </is>
      </c>
      <c r="F56" s="13" t="inlineStr">
        <is>
          <t>Must</t>
        </is>
      </c>
      <c r="G56" s="10" t="n">
        <v>2.5</v>
      </c>
      <c r="H56" s="10" t="inlineStr">
        <is>
          <t>1.5.2</t>
        </is>
      </c>
      <c r="I56" s="12" t="inlineStr">
        <is>
          <t>Data sama dengan web untuk tiket yang sama.</t>
        </is>
      </c>
      <c r="J56" s="10" t="inlineStr">
        <is>
          <t>Hari 3</t>
        </is>
      </c>
      <c r="K56" s="15" t="inlineStr">
        <is>
          <t>Planned</t>
        </is>
      </c>
    </row>
    <row r="57" outlineLevel="1" ht="30" customHeight="1">
      <c r="A57" s="10" t="inlineStr">
        <is>
          <t>1.5.4</t>
        </is>
      </c>
      <c r="B57" s="10" t="n">
        <v>3</v>
      </c>
      <c r="C57" s="11" t="inlineStr">
        <is>
          <t>Chat realtime customer &amp; agent</t>
        </is>
      </c>
      <c r="D57" s="12" t="inlineStr">
        <is>
          <t>Buat tiket, kirim pesan, terima balasan realtime, indikator koneksi.</t>
        </is>
      </c>
      <c r="E57" s="10" t="inlineStr">
        <is>
          <t>C3, A2, S6</t>
        </is>
      </c>
      <c r="F57" s="13" t="inlineStr">
        <is>
          <t>Must</t>
        </is>
      </c>
      <c r="G57" s="10" t="n">
        <v>3</v>
      </c>
      <c r="H57" s="10" t="inlineStr">
        <is>
          <t>1.2.7</t>
        </is>
      </c>
      <c r="I57" s="12" t="inlineStr">
        <is>
          <t>Chat mobile ↔ widget ↔ web tersambung dua arah.</t>
        </is>
      </c>
      <c r="J57" s="10" t="inlineStr">
        <is>
          <t>Hari 3</t>
        </is>
      </c>
      <c r="K57" s="15" t="inlineStr">
        <is>
          <t>Planned</t>
        </is>
      </c>
    </row>
    <row r="58" outlineLevel="1" ht="30" customHeight="1">
      <c r="A58" s="10" t="inlineStr">
        <is>
          <t>1.5.5</t>
        </is>
      </c>
      <c r="B58" s="10" t="n">
        <v>3</v>
      </c>
      <c r="C58" s="11" t="inlineStr">
        <is>
          <t>Offline queue, replay &amp; sinkronisasi</t>
        </is>
      </c>
      <c r="D58" s="12" t="inlineStr">
        <is>
          <t>Antrean pesan lokal (Hive), reconnect otomatis, sync:since, dedupe.</t>
        </is>
      </c>
      <c r="E58" s="10" t="inlineStr">
        <is>
          <t>S6</t>
        </is>
      </c>
      <c r="F58" s="13" t="inlineStr">
        <is>
          <t>Must</t>
        </is>
      </c>
      <c r="G58" s="10" t="n">
        <v>3</v>
      </c>
      <c r="H58" s="10" t="inlineStr">
        <is>
          <t>1.2.8</t>
        </is>
      </c>
      <c r="I58" s="12" t="inlineStr">
        <is>
          <t>Uji airplane mode: pesan terkirim tepat sekali.</t>
        </is>
      </c>
      <c r="J58" s="10" t="inlineStr">
        <is>
          <t>Hari 3</t>
        </is>
      </c>
      <c r="K58" s="15" t="inlineStr">
        <is>
          <t>Planned</t>
        </is>
      </c>
    </row>
    <row r="59" outlineLevel="1" ht="30" customHeight="1">
      <c r="A59" s="10" t="inlineStr">
        <is>
          <t>1.5.6</t>
        </is>
      </c>
      <c r="B59" s="10" t="n">
        <v>3</v>
      </c>
      <c r="C59" s="11" t="inlineStr">
        <is>
          <t>Notifikasi lokal (FCM-ready)</t>
        </is>
      </c>
      <c r="D59" s="12" t="inlineStr">
        <is>
          <t>Local notification saat pesan/tiket baru; struktur siap FCM bila config tersedia.</t>
        </is>
      </c>
      <c r="E59" s="10" t="inlineStr">
        <is>
          <t>S5</t>
        </is>
      </c>
      <c r="F59" s="13" t="inlineStr">
        <is>
          <t>Must</t>
        </is>
      </c>
      <c r="G59" s="10" t="n">
        <v>1.5</v>
      </c>
      <c r="H59" s="10" t="inlineStr">
        <is>
          <t>1.2.10</t>
        </is>
      </c>
      <c r="I59" s="12" t="inlineStr">
        <is>
          <t>Notifikasi muncul saat app di background.</t>
        </is>
      </c>
      <c r="J59" s="10" t="inlineStr">
        <is>
          <t>Hari 3</t>
        </is>
      </c>
      <c r="K59" s="15" t="inlineStr">
        <is>
          <t>Planned</t>
        </is>
      </c>
    </row>
    <row r="60" outlineLevel="1" ht="20" customHeight="1">
      <c r="A60" s="10" t="inlineStr">
        <is>
          <t>1.5.7</t>
        </is>
      </c>
      <c r="B60" s="10" t="n">
        <v>3</v>
      </c>
      <c r="C60" s="11" t="inlineStr">
        <is>
          <t>Lampiran kamera &amp; file</t>
        </is>
      </c>
      <c r="D60" s="12" t="inlineStr">
        <is>
          <t>Ambil foto/langganan file, kompresi, upload, pratinjau.</t>
        </is>
      </c>
      <c r="E60" s="10" t="inlineStr">
        <is>
          <t>S6</t>
        </is>
      </c>
      <c r="F60" s="13" t="inlineStr">
        <is>
          <t>Must</t>
        </is>
      </c>
      <c r="G60" s="10" t="n">
        <v>1.5</v>
      </c>
      <c r="H60" s="10" t="inlineStr">
        <is>
          <t>1.2.9</t>
        </is>
      </c>
      <c r="I60" s="12" t="inlineStr">
        <is>
          <t>Foto &gt; 5 MB dikompres sebelum upload.</t>
        </is>
      </c>
      <c r="J60" s="10" t="inlineStr">
        <is>
          <t>Hari 3</t>
        </is>
      </c>
      <c r="K60" s="15" t="inlineStr">
        <is>
          <t>Planned</t>
        </is>
      </c>
    </row>
    <row r="61" outlineLevel="1" ht="20" customHeight="1">
      <c r="A61" s="10" t="inlineStr">
        <is>
          <t>1.5.8</t>
        </is>
      </c>
      <c r="B61" s="10" t="n">
        <v>3</v>
      </c>
      <c r="C61" s="11" t="inlineStr">
        <is>
          <t>Profil, CSAT &amp; riwayat</t>
        </is>
      </c>
      <c r="D61" s="12" t="inlineStr">
        <is>
          <t>Profil customer/agent, rating CSAT, daftar tiket selesai.</t>
        </is>
      </c>
      <c r="E61" s="10" t="inlineStr">
        <is>
          <t>C4</t>
        </is>
      </c>
      <c r="F61" s="13" t="inlineStr">
        <is>
          <t>Must</t>
        </is>
      </c>
      <c r="G61" s="10" t="n">
        <v>1</v>
      </c>
      <c r="H61" s="10" t="inlineStr">
        <is>
          <t>1.5.3</t>
        </is>
      </c>
      <c r="I61" s="12" t="inlineStr">
        <is>
          <t>Rating tersimpan dan tampil di web.</t>
        </is>
      </c>
      <c r="J61" s="10" t="inlineStr">
        <is>
          <t>Hari 3</t>
        </is>
      </c>
      <c r="K61" s="15" t="inlineStr">
        <is>
          <t>Planned</t>
        </is>
      </c>
    </row>
    <row r="62" outlineLevel="1" ht="30" customHeight="1">
      <c r="A62" s="10" t="inlineStr">
        <is>
          <t>1.5.9</t>
        </is>
      </c>
      <c r="B62" s="10" t="n">
        <v>3</v>
      </c>
      <c r="C62" s="11" t="inlineStr">
        <is>
          <t>Build &amp; signing APK</t>
        </is>
      </c>
      <c r="D62" s="12" t="inlineStr">
        <is>
          <t>Build APK release dengan debug signing untuk demo, lalu uji install di emulator/perangkat.</t>
        </is>
      </c>
      <c r="E62" s="10" t="inlineStr">
        <is>
          <t>—</t>
        </is>
      </c>
      <c r="F62" s="13" t="inlineStr">
        <is>
          <t>Must</t>
        </is>
      </c>
      <c r="G62" s="10" t="n">
        <v>0.5</v>
      </c>
      <c r="H62" s="10" t="inlineStr">
        <is>
          <t>1.5.4</t>
        </is>
      </c>
      <c r="I62" s="12" t="inlineStr">
        <is>
          <t>APK release terpasang tanpa crash saat login &amp; chat.</t>
        </is>
      </c>
      <c r="J62" s="10" t="inlineStr">
        <is>
          <t>Hari 3</t>
        </is>
      </c>
      <c r="K62" s="15" t="inlineStr">
        <is>
          <t>Planned</t>
        </is>
      </c>
    </row>
    <row r="63" outlineLevel="1" ht="20" customHeight="1">
      <c r="A63" s="10" t="inlineStr">
        <is>
          <t>1.5.10</t>
        </is>
      </c>
      <c r="B63" s="10" t="n">
        <v>3</v>
      </c>
      <c r="C63" s="11" t="inlineStr">
        <is>
          <t>Deep link dari notifikasi</t>
        </is>
      </c>
      <c r="D63" s="12" t="inlineStr">
        <is>
          <t>Tap notifikasi membuka tiket terkait.</t>
        </is>
      </c>
      <c r="E63" s="10" t="inlineStr">
        <is>
          <t>S5</t>
        </is>
      </c>
      <c r="F63" s="16" t="inlineStr">
        <is>
          <t>Should</t>
        </is>
      </c>
      <c r="G63" s="10" t="n">
        <v>1</v>
      </c>
      <c r="H63" s="10" t="inlineStr">
        <is>
          <t>1.5.6</t>
        </is>
      </c>
      <c r="I63" s="12" t="inlineStr">
        <is>
          <t>Notifikasi tiket membuka detail yang benar.</t>
        </is>
      </c>
      <c r="J63" s="10" t="inlineStr">
        <is>
          <t>Hari 3</t>
        </is>
      </c>
      <c r="K63" s="15" t="inlineStr">
        <is>
          <t>Planned</t>
        </is>
      </c>
    </row>
    <row r="64" ht="22" customHeight="1">
      <c r="A64" s="7" t="inlineStr">
        <is>
          <t>1.6</t>
        </is>
      </c>
      <c r="B64" s="7" t="n">
        <v>2</v>
      </c>
      <c r="C64" s="8" t="inlineStr">
        <is>
          <t>QA, DevOps &amp; Dokumentasi</t>
        </is>
      </c>
      <c r="D64" s="9" t="inlineStr">
        <is>
          <t>Pengujian alur utama, perbaikan, dokumentasi, dan paket deliverable.</t>
        </is>
      </c>
      <c r="E64" s="7" t="inlineStr">
        <is>
          <t>Semua</t>
        </is>
      </c>
      <c r="F64" s="7" t="inlineStr">
        <is>
          <t>Must</t>
        </is>
      </c>
      <c r="G64" s="7" t="n">
        <v>9</v>
      </c>
      <c r="H64" s="7" t="inlineStr">
        <is>
          <t>1.2-1.5</t>
        </is>
      </c>
      <c r="I64" s="9" t="inlineStr">
        <is>
          <t>Semua skenario wajib lulus dan didokumentasikan.</t>
        </is>
      </c>
      <c r="J64" s="7" t="inlineStr">
        <is>
          <t>Hari 3-4</t>
        </is>
      </c>
      <c r="K64" s="7" t="inlineStr">
        <is>
          <t>Planned</t>
        </is>
      </c>
    </row>
    <row r="65" outlineLevel="1" ht="30" customHeight="1">
      <c r="A65" s="10" t="inlineStr">
        <is>
          <t>1.6.1</t>
        </is>
      </c>
      <c r="B65" s="10" t="n">
        <v>3</v>
      </c>
      <c r="C65" s="11" t="inlineStr">
        <is>
          <t>Uji alur widget ↔ web ↔ mobile</t>
        </is>
      </c>
      <c r="D65" s="12" t="inlineStr">
        <is>
          <t>Skenario: customer chat dari widget, agent balas di web, customer lanjut di mobile.</t>
        </is>
      </c>
      <c r="E65" s="10" t="inlineStr">
        <is>
          <t>S6</t>
        </is>
      </c>
      <c r="F65" s="13" t="inlineStr">
        <is>
          <t>Must</t>
        </is>
      </c>
      <c r="G65" s="10" t="n">
        <v>2</v>
      </c>
      <c r="H65" s="10" t="inlineStr">
        <is>
          <t>1.4, 1.5</t>
        </is>
      </c>
      <c r="I65" s="12" t="inlineStr">
        <is>
          <t>Satu thread percakapan konsisten di tiga kanal.</t>
        </is>
      </c>
      <c r="J65" s="10" t="inlineStr">
        <is>
          <t>Hari 4</t>
        </is>
      </c>
      <c r="K65" s="15" t="inlineStr">
        <is>
          <t>Planned</t>
        </is>
      </c>
    </row>
    <row r="66" outlineLevel="1" ht="30" customHeight="1">
      <c r="A66" s="10" t="inlineStr">
        <is>
          <t>1.6.2</t>
        </is>
      </c>
      <c r="B66" s="10" t="n">
        <v>3</v>
      </c>
      <c r="C66" s="11" t="inlineStr">
        <is>
          <t>Uji putus-sambung &amp; latency</t>
        </is>
      </c>
      <c r="D66" s="12" t="inlineStr">
        <is>
          <t>Simulasi offline, latency, refresh, server restart; ukur waktu pemulihan.</t>
        </is>
      </c>
      <c r="E66" s="10" t="inlineStr">
        <is>
          <t>S6, S7</t>
        </is>
      </c>
      <c r="F66" s="13" t="inlineStr">
        <is>
          <t>Must</t>
        </is>
      </c>
      <c r="G66" s="10" t="n">
        <v>1.5</v>
      </c>
      <c r="H66" s="10" t="inlineStr">
        <is>
          <t>1.6.1</t>
        </is>
      </c>
      <c r="I66" s="12" t="inlineStr">
        <is>
          <t>Reconnect &lt; 5 detik, tanpa pesan hilang/duplikat.</t>
        </is>
      </c>
      <c r="J66" s="10" t="inlineStr">
        <is>
          <t>Hari 4</t>
        </is>
      </c>
      <c r="K66" s="15" t="inlineStr">
        <is>
          <t>Planned</t>
        </is>
      </c>
    </row>
    <row r="67" outlineLevel="1" ht="30" customHeight="1">
      <c r="A67" s="10" t="inlineStr">
        <is>
          <t>1.6.3</t>
        </is>
      </c>
      <c r="B67" s="10" t="n">
        <v>3</v>
      </c>
      <c r="C67" s="11" t="inlineStr">
        <is>
          <t>Bug fixing &amp; performance</t>
        </is>
      </c>
      <c r="D67" s="12" t="inlineStr">
        <is>
          <t>Perbaiki temuan QA, index query, optimasi payload &amp; render list.</t>
        </is>
      </c>
      <c r="E67" s="10" t="inlineStr">
        <is>
          <t>—</t>
        </is>
      </c>
      <c r="F67" s="13" t="inlineStr">
        <is>
          <t>Must</t>
        </is>
      </c>
      <c r="G67" s="10" t="n">
        <v>1.5</v>
      </c>
      <c r="H67" s="10" t="inlineStr">
        <is>
          <t>1.6.1</t>
        </is>
      </c>
      <c r="I67" s="12" t="inlineStr">
        <is>
          <t>Tidak ada bug kritis/tinggi tersisa di daftar isu.</t>
        </is>
      </c>
      <c r="J67" s="10" t="inlineStr">
        <is>
          <t>Hari 4</t>
        </is>
      </c>
      <c r="K67" s="15" t="inlineStr">
        <is>
          <t>Planned</t>
        </is>
      </c>
    </row>
    <row r="68" outlineLevel="1" ht="30" customHeight="1">
      <c r="A68" s="10" t="inlineStr">
        <is>
          <t>1.6.4</t>
        </is>
      </c>
      <c r="B68" s="10" t="n">
        <v>3</v>
      </c>
      <c r="C68" s="11" t="inlineStr">
        <is>
          <t>README, screenshot &amp; demo</t>
        </is>
      </c>
      <c r="D68" s="12" t="inlineStr">
        <is>
          <t>Cara menjalankan, akun demo, arsitektur, skema DB, keputusan desain, screenshot.</t>
        </is>
      </c>
      <c r="E68" s="10" t="inlineStr">
        <is>
          <t>—</t>
        </is>
      </c>
      <c r="F68" s="13" t="inlineStr">
        <is>
          <t>Must</t>
        </is>
      </c>
      <c r="G68" s="10" t="n">
        <v>1.5</v>
      </c>
      <c r="H68" s="10" t="inlineStr">
        <is>
          <t>1.6.1</t>
        </is>
      </c>
      <c r="I68" s="12" t="inlineStr">
        <is>
          <t>Reviewer dapat menjalankan proyek hanya dari README.</t>
        </is>
      </c>
      <c r="J68" s="10" t="inlineStr">
        <is>
          <t>Hari 4</t>
        </is>
      </c>
      <c r="K68" s="15" t="inlineStr">
        <is>
          <t>Planned</t>
        </is>
      </c>
    </row>
    <row r="69" outlineLevel="1" ht="20" customHeight="1">
      <c r="A69" s="10" t="inlineStr">
        <is>
          <t>1.6.5</t>
        </is>
      </c>
      <c r="B69" s="10" t="n">
        <v>3</v>
      </c>
      <c r="C69" s="11" t="inlineStr">
        <is>
          <t>Docker &amp; konfigurasi produksi</t>
        </is>
      </c>
      <c r="D69" s="12" t="inlineStr">
        <is>
          <t>Dockerfile, env contoh, perintah build, catatan deployment.</t>
        </is>
      </c>
      <c r="E69" s="10" t="inlineStr">
        <is>
          <t>—</t>
        </is>
      </c>
      <c r="F69" s="16" t="inlineStr">
        <is>
          <t>Should</t>
        </is>
      </c>
      <c r="G69" s="10" t="n">
        <v>1</v>
      </c>
      <c r="H69" s="10" t="inlineStr">
        <is>
          <t>1.6.4</t>
        </is>
      </c>
      <c r="I69" s="12" t="inlineStr">
        <is>
          <t>`docker compose up` menjalankan server + DB.</t>
        </is>
      </c>
      <c r="J69" s="10" t="inlineStr">
        <is>
          <t>Hari 4</t>
        </is>
      </c>
      <c r="K69" s="15" t="inlineStr">
        <is>
          <t>Planned</t>
        </is>
      </c>
    </row>
    <row r="70" outlineLevel="1" ht="30" customHeight="1">
      <c r="A70" s="10" t="inlineStr">
        <is>
          <t>1.6.6</t>
        </is>
      </c>
      <c r="B70" s="10" t="n">
        <v>3</v>
      </c>
      <c r="C70" s="11" t="inlineStr">
        <is>
          <t>Packaging deliverable</t>
        </is>
      </c>
      <c r="D70" s="12" t="inlineStr">
        <is>
          <t>Export BPMN PDF, WBS XLSX, APK, publish repo publik, cek akses reviewer.</t>
        </is>
      </c>
      <c r="E70" s="10" t="inlineStr">
        <is>
          <t>—</t>
        </is>
      </c>
      <c r="F70" s="13" t="inlineStr">
        <is>
          <t>Must</t>
        </is>
      </c>
      <c r="G70" s="10" t="n">
        <v>0.5</v>
      </c>
      <c r="H70" s="10" t="inlineStr">
        <is>
          <t>1.6.4</t>
        </is>
      </c>
      <c r="I70" s="12" t="inlineStr">
        <is>
          <t>Semua link dapat diakses tanpa login khusus.</t>
        </is>
      </c>
      <c r="J70" s="10" t="inlineStr">
        <is>
          <t>Hari 4</t>
        </is>
      </c>
      <c r="K70" s="15" t="inlineStr">
        <is>
          <t>Planned</t>
        </is>
      </c>
    </row>
    <row r="71" outlineLevel="1" ht="20" customHeight="1">
      <c r="A71" s="10" t="inlineStr">
        <is>
          <t>1.6.7</t>
        </is>
      </c>
      <c r="B71" s="10" t="n">
        <v>3</v>
      </c>
      <c r="C71" s="11" t="inlineStr">
        <is>
          <t>Video demo 2 menit</t>
        </is>
      </c>
      <c r="D71" s="12" t="inlineStr">
        <is>
          <t>Rekaman alur realtime lintas kanal sebagai bukti tambahan.</t>
        </is>
      </c>
      <c r="E71" s="10" t="inlineStr">
        <is>
          <t>—</t>
        </is>
      </c>
      <c r="F71" s="17" t="inlineStr">
        <is>
          <t>Could</t>
        </is>
      </c>
      <c r="G71" s="10" t="n">
        <v>1</v>
      </c>
      <c r="H71" s="10" t="inlineStr">
        <is>
          <t>1.6.1</t>
        </is>
      </c>
      <c r="I71" s="12" t="inlineStr">
        <is>
          <t>Video terunggah dan ditautkan di README.</t>
        </is>
      </c>
      <c r="J71" s="10" t="inlineStr">
        <is>
          <t>Hari 4</t>
        </is>
      </c>
      <c r="K71" s="15" t="inlineStr">
        <is>
          <t>Planned</t>
        </is>
      </c>
    </row>
    <row r="72" ht="31" customHeight="1">
      <c r="A72" s="7" t="inlineStr">
        <is>
          <t>1.7</t>
        </is>
      </c>
      <c r="B72" s="7" t="n">
        <v>2</v>
      </c>
      <c r="C72" s="8" t="inlineStr">
        <is>
          <t>Manajemen Proyek</t>
        </is>
      </c>
      <c r="D72" s="9" t="inlineStr">
        <is>
          <t>Perencanaan, review harian, dan pengelolaan risiko pengerjaan solo 4 hari.</t>
        </is>
      </c>
      <c r="E72" s="7" t="inlineStr">
        <is>
          <t>—</t>
        </is>
      </c>
      <c r="F72" s="7" t="inlineStr">
        <is>
          <t>Must</t>
        </is>
      </c>
      <c r="G72" s="7" t="n">
        <v>4</v>
      </c>
      <c r="H72" s="7" t="inlineStr">
        <is>
          <t>—</t>
        </is>
      </c>
      <c r="I72" s="9" t="inlineStr">
        <is>
          <t>Progres harian tercatat dan submission tepat waktu.</t>
        </is>
      </c>
      <c r="J72" s="7" t="inlineStr">
        <is>
          <t>Hari 1-4</t>
        </is>
      </c>
      <c r="K72" s="7" t="inlineStr">
        <is>
          <t>In Progress</t>
        </is>
      </c>
    </row>
    <row r="73" outlineLevel="1" ht="30" customHeight="1">
      <c r="A73" s="10" t="inlineStr">
        <is>
          <t>1.7.1</t>
        </is>
      </c>
      <c r="B73" s="10" t="n">
        <v>3</v>
      </c>
      <c r="C73" s="11" t="inlineStr">
        <is>
          <t>Kickoff &amp; penetapan scope</t>
        </is>
      </c>
      <c r="D73" s="12" t="inlineStr">
        <is>
          <t>Pilih Helpdesk, kunci ruang lingkup Must/Should/Could, siapkan environment.</t>
        </is>
      </c>
      <c r="E73" s="10" t="inlineStr">
        <is>
          <t>—</t>
        </is>
      </c>
      <c r="F73" s="13" t="inlineStr">
        <is>
          <t>Must</t>
        </is>
      </c>
      <c r="G73" s="10" t="n">
        <v>0.5</v>
      </c>
      <c r="H73" s="10" t="inlineStr">
        <is>
          <t>—</t>
        </is>
      </c>
      <c r="I73" s="12" t="inlineStr">
        <is>
          <t>Scope &amp; jadwal disepakati sebelum coding.</t>
        </is>
      </c>
      <c r="J73" s="10" t="inlineStr">
        <is>
          <t>Hari 1</t>
        </is>
      </c>
      <c r="K73" s="14" t="inlineStr">
        <is>
          <t>Done</t>
        </is>
      </c>
    </row>
    <row r="74" outlineLevel="1" ht="20" customHeight="1">
      <c r="A74" s="10" t="inlineStr">
        <is>
          <t>1.7.2</t>
        </is>
      </c>
      <c r="B74" s="10" t="n">
        <v>3</v>
      </c>
      <c r="C74" s="11" t="inlineStr">
        <is>
          <t>Daily review &amp; risk log</t>
        </is>
      </c>
      <c r="D74" s="12" t="inlineStr">
        <is>
          <t>Review progres, update status WBS, catat risiko &amp; mitigasi.</t>
        </is>
      </c>
      <c r="E74" s="10" t="inlineStr">
        <is>
          <t>—</t>
        </is>
      </c>
      <c r="F74" s="13" t="inlineStr">
        <is>
          <t>Must</t>
        </is>
      </c>
      <c r="G74" s="10" t="n">
        <v>1.5</v>
      </c>
      <c r="H74" s="10" t="inlineStr">
        <is>
          <t>1.7.1</t>
        </is>
      </c>
      <c r="I74" s="12" t="inlineStr">
        <is>
          <t>Risk log diperbarui setiap hari.</t>
        </is>
      </c>
      <c r="J74" s="10" t="inlineStr">
        <is>
          <t>Hari 1-4</t>
        </is>
      </c>
      <c r="K74" s="18" t="inlineStr">
        <is>
          <t>In Progress</t>
        </is>
      </c>
    </row>
    <row r="75" outlineLevel="1" ht="30" customHeight="1">
      <c r="A75" s="10" t="inlineStr">
        <is>
          <t>1.7.3</t>
        </is>
      </c>
      <c r="B75" s="10" t="n">
        <v>3</v>
      </c>
      <c r="C75" s="11" t="inlineStr">
        <is>
          <t>Final QA &amp; submission</t>
        </is>
      </c>
      <c r="D75" s="12" t="inlineStr">
        <is>
          <t>Cek ulang deliverable, kirim email berisi PDF, XLSX, dan URL repo.</t>
        </is>
      </c>
      <c r="E75" s="10" t="inlineStr">
        <is>
          <t>—</t>
        </is>
      </c>
      <c r="F75" s="13" t="inlineStr">
        <is>
          <t>Must</t>
        </is>
      </c>
      <c r="G75" s="10" t="n">
        <v>1.5</v>
      </c>
      <c r="H75" s="10" t="inlineStr">
        <is>
          <t>1.6.6</t>
        </is>
      </c>
      <c r="I75" s="12" t="inlineStr">
        <is>
          <t>Email terkirim sebelum 25 Okt 2026 23:59 WIB.</t>
        </is>
      </c>
      <c r="J75" s="10" t="inlineStr">
        <is>
          <t>Hari 4</t>
        </is>
      </c>
      <c r="K75" s="15" t="inlineStr">
        <is>
          <t>Planned</t>
        </is>
      </c>
    </row>
    <row r="76" outlineLevel="1" ht="20" customHeight="1">
      <c r="A76" s="10" t="inlineStr">
        <is>
          <t>1.7.4</t>
        </is>
      </c>
      <c r="B76" s="10" t="n">
        <v>3</v>
      </c>
      <c r="C76" s="11" t="inlineStr">
        <is>
          <t>Buffer</t>
        </is>
      </c>
      <c r="D76" s="12" t="inlineStr">
        <is>
          <t>Cadangan waktu untuk perbaikan tak terduga.</t>
        </is>
      </c>
      <c r="E76" s="10" t="inlineStr">
        <is>
          <t>—</t>
        </is>
      </c>
      <c r="F76" s="13" t="inlineStr">
        <is>
          <t>Must</t>
        </is>
      </c>
      <c r="G76" s="10" t="n">
        <v>0.5</v>
      </c>
      <c r="H76" s="10" t="inlineStr">
        <is>
          <t>—</t>
        </is>
      </c>
      <c r="I76" s="12" t="inlineStr">
        <is>
          <t>Dipakai hanya bila ada blocker.</t>
        </is>
      </c>
      <c r="J76" s="10" t="inlineStr">
        <is>
          <t>Hari 4</t>
        </is>
      </c>
      <c r="K76" s="15" t="inlineStr">
        <is>
          <t>Planned</t>
        </is>
      </c>
    </row>
    <row r="77" ht="30" customHeight="1">
      <c r="A77" s="19" t="inlineStr">
        <is>
          <t>TOTAL</t>
        </is>
      </c>
      <c r="B77" s="20" t="n"/>
      <c r="C77" s="20" t="n"/>
      <c r="D77" s="20" t="n"/>
      <c r="E77" s="20" t="n"/>
      <c r="F77" s="20" t="n"/>
      <c r="G77" s="21">
        <f>SUMIF(B5:B76,3,G5:G76)</f>
        <v/>
      </c>
      <c r="H77" s="22" t="inlineStr">
        <is>
          <t>jam-orang</t>
        </is>
      </c>
      <c r="I77" s="23" t="inlineStr">
        <is>
          <t>Must-first: estimasi penuh 104.5 jam; kapasitas efektif 4 hari ± 46 jam, selisih ditutup dengan bantuan AI &amp; pemangkasan Should/Could.</t>
        </is>
      </c>
      <c r="J77" s="20" t="n"/>
      <c r="K77" s="20" t="n"/>
    </row>
  </sheetData>
  <autoFilter ref="A4:K76"/>
  <mergeCells count="5">
    <mergeCell ref="I77:K77"/>
    <mergeCell ref="A3:K3"/>
    <mergeCell ref="A2:K2"/>
    <mergeCell ref="A77:F77"/>
    <mergeCell ref="A1:K1"/>
  </mergeCells>
  <dataValidations count="3">
    <dataValidation sqref="F5:F76" showDropDown="0" showInputMessage="0" showErrorMessage="0" allowBlank="1" type="list">
      <formula1>"Must,Should,Could"</formula1>
    </dataValidation>
    <dataValidation sqref="K5:K76" showDropDown="0" showInputMessage="0" showErrorMessage="0" allowBlank="1" type="list">
      <formula1>"Planned,In Progress,Done,Blocked"</formula1>
    </dataValidation>
    <dataValidation sqref="J5:J76" showDropDown="0" showInputMessage="0" showErrorMessage="0" allowBlank="1" type="list">
      <formula1>"Hari 1,Hari 2,Hari 3,Hari 4,Hari 1-2,Hari 2-3,Hari 3-4,Hari 1-4"</formula1>
    </dataValidation>
  </dataValidations>
  <pageMargins left="0.3" right="0.3" top="0.4" bottom="0.4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15" customWidth="1" min="4" max="4"/>
    <col width="9" customWidth="1" min="5" max="5"/>
    <col width="9" customWidth="1" min="6" max="6"/>
    <col width="9" customWidth="1" min="7" max="7"/>
  </cols>
  <sheetData>
    <row r="1" ht="30" customHeight="1">
      <c r="A1" s="24" t="inlineStr">
        <is>
          <t>RINGKASAN WBS</t>
        </is>
      </c>
    </row>
    <row r="2" ht="18" customHeight="1">
      <c r="A2" s="25" t="inlineStr">
        <is>
          <t>Rekap estimasi per modul, prioritas, dan kesiapan waktu pengerjaan.</t>
        </is>
      </c>
    </row>
    <row r="4" ht="26" customHeight="1">
      <c r="A4" s="26" t="inlineStr">
        <is>
          <t>Kode</t>
        </is>
      </c>
      <c r="B4" s="26" t="inlineStr">
        <is>
          <t>Modul</t>
        </is>
      </c>
      <c r="C4" s="26" t="inlineStr">
        <is>
          <t>Jumlah Fitur</t>
        </is>
      </c>
      <c r="D4" s="26" t="inlineStr">
        <is>
          <t>Estimasi (jam)</t>
        </is>
      </c>
      <c r="E4" s="26" t="inlineStr">
        <is>
          <t>Must</t>
        </is>
      </c>
      <c r="F4" s="26" t="inlineStr">
        <is>
          <t>Should</t>
        </is>
      </c>
      <c r="G4" s="26" t="inlineStr">
        <is>
          <t>Could</t>
        </is>
      </c>
    </row>
    <row r="5" ht="20" customHeight="1">
      <c r="A5" s="27" t="inlineStr">
        <is>
          <t>1.1</t>
        </is>
      </c>
      <c r="B5" s="28" t="inlineStr">
        <is>
          <t>Analisis &amp; Desain</t>
        </is>
      </c>
      <c r="C5" s="27">
        <f>COUNTIFS(WBS!$A$5:$A$76,"1.1.*")</f>
        <v/>
      </c>
      <c r="D5" s="27">
        <f>SUMIFS(WBS!$G$5:$G$76,WBS!$A$5:$A$76,"1.1.*")</f>
        <v/>
      </c>
      <c r="E5" s="27">
        <f>COUNTIFS(WBS!$A$5:$A$76,"1.1.*",WBS!$F$5:$F$76,"Must")</f>
        <v/>
      </c>
      <c r="F5" s="27">
        <f>COUNTIFS(WBS!$A$5:$A$76,"1.1.*",WBS!$F$5:$F$76,"Should")</f>
        <v/>
      </c>
      <c r="G5" s="27">
        <f>COUNTIFS(WBS!$A$5:$A$76,"1.1.*",WBS!$F$5:$F$76,"Could")</f>
        <v/>
      </c>
    </row>
    <row r="6" ht="20" customHeight="1">
      <c r="A6" s="29" t="inlineStr">
        <is>
          <t>1.2</t>
        </is>
      </c>
      <c r="B6" s="30" t="inlineStr">
        <is>
          <t>Backend Core (Node.js + Express + Socket.IO + SQLite)</t>
        </is>
      </c>
      <c r="C6" s="29">
        <f>COUNTIFS(WBS!$A$5:$A$76,"1.2.*")</f>
        <v/>
      </c>
      <c r="D6" s="29">
        <f>SUMIFS(WBS!$G$5:$G$76,WBS!$A$5:$A$76,"1.2.*")</f>
        <v/>
      </c>
      <c r="E6" s="29">
        <f>COUNTIFS(WBS!$A$5:$A$76,"1.2.*",WBS!$F$5:$F$76,"Must")</f>
        <v/>
      </c>
      <c r="F6" s="29">
        <f>COUNTIFS(WBS!$A$5:$A$76,"1.2.*",WBS!$F$5:$F$76,"Should")</f>
        <v/>
      </c>
      <c r="G6" s="29">
        <f>COUNTIFS(WBS!$A$5:$A$76,"1.2.*",WBS!$F$5:$F$76,"Could")</f>
        <v/>
      </c>
    </row>
    <row r="7" ht="20" customHeight="1">
      <c r="A7" s="27" t="inlineStr">
        <is>
          <t>1.3</t>
        </is>
      </c>
      <c r="B7" s="28" t="inlineStr">
        <is>
          <t>Web App — Agent Dashboard</t>
        </is>
      </c>
      <c r="C7" s="27">
        <f>COUNTIFS(WBS!$A$5:$A$76,"1.3.*")</f>
        <v/>
      </c>
      <c r="D7" s="27">
        <f>SUMIFS(WBS!$G$5:$G$76,WBS!$A$5:$A$76,"1.3.*")</f>
        <v/>
      </c>
      <c r="E7" s="27">
        <f>COUNTIFS(WBS!$A$5:$A$76,"1.3.*",WBS!$F$5:$F$76,"Must")</f>
        <v/>
      </c>
      <c r="F7" s="27">
        <f>COUNTIFS(WBS!$A$5:$A$76,"1.3.*",WBS!$F$5:$F$76,"Should")</f>
        <v/>
      </c>
      <c r="G7" s="27">
        <f>COUNTIFS(WBS!$A$5:$A$76,"1.3.*",WBS!$F$5:$F$76,"Could")</f>
        <v/>
      </c>
    </row>
    <row r="8" ht="20" customHeight="1">
      <c r="A8" s="29" t="inlineStr">
        <is>
          <t>1.4</t>
        </is>
      </c>
      <c r="B8" s="30" t="inlineStr">
        <is>
          <t>Live Chat Widget (JavaScript)</t>
        </is>
      </c>
      <c r="C8" s="29">
        <f>COUNTIFS(WBS!$A$5:$A$76,"1.4.*")</f>
        <v/>
      </c>
      <c r="D8" s="29">
        <f>SUMIFS(WBS!$G$5:$G$76,WBS!$A$5:$A$76,"1.4.*")</f>
        <v/>
      </c>
      <c r="E8" s="29">
        <f>COUNTIFS(WBS!$A$5:$A$76,"1.4.*",WBS!$F$5:$F$76,"Must")</f>
        <v/>
      </c>
      <c r="F8" s="29">
        <f>COUNTIFS(WBS!$A$5:$A$76,"1.4.*",WBS!$F$5:$F$76,"Should")</f>
        <v/>
      </c>
      <c r="G8" s="29">
        <f>COUNTIFS(WBS!$A$5:$A$76,"1.4.*",WBS!$F$5:$F$76,"Could")</f>
        <v/>
      </c>
    </row>
    <row r="9" ht="20" customHeight="1">
      <c r="A9" s="27" t="inlineStr">
        <is>
          <t>1.5</t>
        </is>
      </c>
      <c r="B9" s="28" t="inlineStr">
        <is>
          <t>Mobile App (Flutter)</t>
        </is>
      </c>
      <c r="C9" s="27">
        <f>COUNTIFS(WBS!$A$5:$A$76,"1.5.*")</f>
        <v/>
      </c>
      <c r="D9" s="27">
        <f>SUMIFS(WBS!$G$5:$G$76,WBS!$A$5:$A$76,"1.5.*")</f>
        <v/>
      </c>
      <c r="E9" s="27">
        <f>COUNTIFS(WBS!$A$5:$A$76,"1.5.*",WBS!$F$5:$F$76,"Must")</f>
        <v/>
      </c>
      <c r="F9" s="27">
        <f>COUNTIFS(WBS!$A$5:$A$76,"1.5.*",WBS!$F$5:$F$76,"Should")</f>
        <v/>
      </c>
      <c r="G9" s="27">
        <f>COUNTIFS(WBS!$A$5:$A$76,"1.5.*",WBS!$F$5:$F$76,"Could")</f>
        <v/>
      </c>
    </row>
    <row r="10" ht="20" customHeight="1">
      <c r="A10" s="29" t="inlineStr">
        <is>
          <t>1.6</t>
        </is>
      </c>
      <c r="B10" s="30" t="inlineStr">
        <is>
          <t>QA, DevOps &amp; Dokumentasi</t>
        </is>
      </c>
      <c r="C10" s="29">
        <f>COUNTIFS(WBS!$A$5:$A$76,"1.6.*")</f>
        <v/>
      </c>
      <c r="D10" s="29">
        <f>SUMIFS(WBS!$G$5:$G$76,WBS!$A$5:$A$76,"1.6.*")</f>
        <v/>
      </c>
      <c r="E10" s="29">
        <f>COUNTIFS(WBS!$A$5:$A$76,"1.6.*",WBS!$F$5:$F$76,"Must")</f>
        <v/>
      </c>
      <c r="F10" s="29">
        <f>COUNTIFS(WBS!$A$5:$A$76,"1.6.*",WBS!$F$5:$F$76,"Should")</f>
        <v/>
      </c>
      <c r="G10" s="29">
        <f>COUNTIFS(WBS!$A$5:$A$76,"1.6.*",WBS!$F$5:$F$76,"Could")</f>
        <v/>
      </c>
    </row>
    <row r="11" ht="20" customHeight="1">
      <c r="A11" s="27" t="inlineStr">
        <is>
          <t>1.7</t>
        </is>
      </c>
      <c r="B11" s="28" t="inlineStr">
        <is>
          <t>Manajemen Proyek</t>
        </is>
      </c>
      <c r="C11" s="27">
        <f>COUNTIFS(WBS!$A$5:$A$76,"1.7.*")</f>
        <v/>
      </c>
      <c r="D11" s="27">
        <f>SUMIFS(WBS!$G$5:$G$76,WBS!$A$5:$A$76,"1.7.*")</f>
        <v/>
      </c>
      <c r="E11" s="27">
        <f>COUNTIFS(WBS!$A$5:$A$76,"1.7.*",WBS!$F$5:$F$76,"Must")</f>
        <v/>
      </c>
      <c r="F11" s="27">
        <f>COUNTIFS(WBS!$A$5:$A$76,"1.7.*",WBS!$F$5:$F$76,"Should")</f>
        <v/>
      </c>
      <c r="G11" s="27">
        <f>COUNTIFS(WBS!$A$5:$A$76,"1.7.*",WBS!$F$5:$F$76,"Could")</f>
        <v/>
      </c>
    </row>
    <row r="12" ht="22" customHeight="1">
      <c r="A12" s="31" t="inlineStr">
        <is>
          <t>TOTAL</t>
        </is>
      </c>
      <c r="B12" s="32" t="inlineStr">
        <is>
          <t>Seluruh modul</t>
        </is>
      </c>
      <c r="C12" s="31">
        <f>SUM(C5:C11)</f>
        <v/>
      </c>
      <c r="D12" s="31">
        <f>SUM(D5:D11)</f>
        <v/>
      </c>
      <c r="E12" s="31">
        <f>SUM(E5:E11)</f>
        <v/>
      </c>
      <c r="F12" s="31">
        <f>SUM(F5:F11)</f>
        <v/>
      </c>
      <c r="G12" s="31">
        <f>SUM(G5:G11)</f>
        <v/>
      </c>
    </row>
    <row r="14">
      <c r="A14" s="33" t="inlineStr">
        <is>
          <t>Catatan kapasitas</t>
        </is>
      </c>
    </row>
    <row r="15">
      <c r="A15" s="34" t="inlineStr">
        <is>
          <t>• Estimasi total 104.5 jam-orang untuk kualitas produksi (bukan durasi kalender).</t>
        </is>
      </c>
    </row>
    <row r="16">
      <c r="A16" s="34" t="inlineStr">
        <is>
          <t>• Eksekusi solo: Hari 1 (10 jam), Hari 2 (14 jam), Hari 3 (14 jam), Hari 4 (8 jam) = ± 46 jam efektif.</t>
        </is>
      </c>
    </row>
    <row r="17">
      <c r="A17" s="34" t="inlineStr">
        <is>
          <t>• Selisih ditutup dengan bantuan AI (diizinkan soal), prioritas Must, dan penundaan Should/Could.</t>
        </is>
      </c>
    </row>
    <row r="18">
      <c r="A18" s="34" t="inlineStr">
        <is>
          <t>• Fitur opsional (AI auto-reply + push notification) tetap dikerjakan karena bernilai plus.</t>
        </is>
      </c>
    </row>
  </sheetData>
  <mergeCells count="6">
    <mergeCell ref="A1:G1"/>
    <mergeCell ref="A17:G17"/>
    <mergeCell ref="A18:G18"/>
    <mergeCell ref="A16:G16"/>
    <mergeCell ref="A2:G2"/>
    <mergeCell ref="A15:G15"/>
  </mergeCells>
  <conditionalFormatting sqref="D5:D11">
    <cfRule type="dataBar" priority="1">
      <dataBar showValue="1">
        <cfvo type="num" val="0"/>
        <cfvo type="max"/>
        <color rgb="00BFDBFE"/>
      </dataBar>
    </cfRule>
  </conditionalFormatting>
  <pageMargins left="0.3" right="0.3" top="0.4" bottom="0.4" header="0.5" footer="0.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6" customWidth="1" min="3" max="3"/>
    <col width="30" customWidth="1" min="4" max="4"/>
    <col width="8" customWidth="1" min="5" max="5"/>
    <col width="52" customWidth="1" min="6" max="6"/>
  </cols>
  <sheetData>
    <row r="1" ht="30" customHeight="1">
      <c r="A1" s="24" t="inlineStr">
        <is>
          <t>RENCANA EKSEKUSI 4 HARI</t>
        </is>
      </c>
    </row>
    <row r="3" ht="28" customHeight="1">
      <c r="A3" s="26" t="inlineStr">
        <is>
          <t>Hari / Tanggal</t>
        </is>
      </c>
      <c r="B3" s="26" t="inlineStr">
        <is>
          <t>Fokus</t>
        </is>
      </c>
      <c r="C3" s="26" t="inlineStr">
        <is>
          <t>Aktivitas utama</t>
        </is>
      </c>
      <c r="D3" s="26" t="inlineStr">
        <is>
          <t>Deliverable</t>
        </is>
      </c>
      <c r="E3" s="26" t="inlineStr">
        <is>
          <t>Jam</t>
        </is>
      </c>
      <c r="F3" s="26" t="inlineStr">
        <is>
          <t>Definition of Done</t>
        </is>
      </c>
    </row>
    <row r="4" ht="58" customHeight="1">
      <c r="A4" s="35" t="inlineStr">
        <is>
          <t>Hari 1 — Kamis, 22 Okt 2026</t>
        </is>
      </c>
      <c r="B4" s="36" t="inlineStr">
        <is>
          <t>Analisis &amp; desain</t>
        </is>
      </c>
      <c r="C4" s="36" t="inlineStr">
        <is>
          <t>Finalisasi scope, BPMN swimlane, WBS, ERD, kontrak API/event, wireframe, scaffold repo &amp; migrasi database.</t>
        </is>
      </c>
      <c r="D4" s="36" t="inlineStr">
        <is>
          <t>BPMN PDF, WBS XLSX, ERD, API contract</t>
        </is>
      </c>
      <c r="E4" s="37" t="n">
        <v>10</v>
      </c>
      <c r="F4" s="36" t="inlineStr">
        <is>
          <t>Semua dokumen desain selesai dan repo dapat dijalankan (server + DB kosong).</t>
        </is>
      </c>
    </row>
    <row r="5" ht="58" customHeight="1">
      <c r="A5" s="38" t="inlineStr">
        <is>
          <t>Hari 2 — Jumat, 23 Okt 2026</t>
        </is>
      </c>
      <c r="B5" s="39" t="inlineStr">
        <is>
          <t>Backend &amp; widget</t>
        </is>
      </c>
      <c r="C5" s="39" t="inlineStr">
        <is>
          <t>Auth/RBAC, tiket, SLA, chat realtime, idempotensi &amp; replay, AI adapter, seed, unit/integration test, widget chat.</t>
        </is>
      </c>
      <c r="D5" s="39" t="inlineStr">
        <is>
          <t>API berjalan, widget demo, test hijau</t>
        </is>
      </c>
      <c r="E5" s="40" t="n">
        <v>14</v>
      </c>
      <c r="F5" s="39" t="inlineStr">
        <is>
          <t>Chat widget ↔ dashboard agent realtime; reconnect tanpa duplikat.</t>
        </is>
      </c>
    </row>
    <row r="6" ht="58" customHeight="1">
      <c r="A6" s="35" t="inlineStr">
        <is>
          <t>Hari 3 — Sabtu, 24 Okt 2026</t>
        </is>
      </c>
      <c r="B6" s="36" t="inlineStr">
        <is>
          <t>Web dashboard &amp; mobile app</t>
        </is>
      </c>
      <c r="C6" s="36" t="inlineStr">
        <is>
          <t>Inbox &amp; detail tiket, aksi tiket, laporan, admin panel, Flutter customer/agent, offline queue, local notification, build APK.</t>
        </is>
      </c>
      <c r="D6" s="36" t="inlineStr">
        <is>
          <t>Web app lengkap, APK release</t>
        </is>
      </c>
      <c r="E6" s="37" t="n">
        <v>14</v>
      </c>
      <c r="F6" s="36" t="inlineStr">
        <is>
          <t>Tiga kanal (widget, web, mobile) saling terhubung; APK terpasang.</t>
        </is>
      </c>
    </row>
    <row r="7" ht="58" customHeight="1">
      <c r="A7" s="38" t="inlineStr">
        <is>
          <t>Hari 4 — Minggu, 25 Okt 2026</t>
        </is>
      </c>
      <c r="B7" s="39" t="inlineStr">
        <is>
          <t>QA, dokumentasi &amp; submission</t>
        </is>
      </c>
      <c r="C7" s="39" t="inlineStr">
        <is>
          <t>Uji alur lintas kanal, uji putus-sambung, bug fixing, README &amp; screenshot, export PDF/XLSX, publish repo publik, kirim email.</t>
        </is>
      </c>
      <c r="D7" s="39" t="inlineStr">
        <is>
          <t>Repo publik + PDF + XLSX + APK</t>
        </is>
      </c>
      <c r="E7" s="40" t="n">
        <v>8</v>
      </c>
      <c r="F7" s="39" t="inlineStr">
        <is>
          <t>Email terkirim sebelum 23:59 WIB (target 09.00 WIB).</t>
        </is>
      </c>
    </row>
  </sheetData>
  <mergeCells count="1">
    <mergeCell ref="A1:F1"/>
  </mergeCells>
  <pageMargins left="0.3" right="0.3" top="0.4" bottom="0.4" header="0.5" footer="0.5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2" customWidth="1" min="3" max="3"/>
    <col width="13" customWidth="1" min="4" max="4"/>
    <col width="66" customWidth="1" min="5" max="5"/>
    <col width="30" customWidth="1" min="6" max="6"/>
  </cols>
  <sheetData>
    <row r="1" ht="30" customHeight="1">
      <c r="A1" s="24" t="inlineStr">
        <is>
          <t>RISIKO &amp; MITIGASI</t>
        </is>
      </c>
    </row>
    <row r="3" ht="26" customHeight="1">
      <c r="A3" s="26" t="inlineStr">
        <is>
          <t>No</t>
        </is>
      </c>
      <c r="B3" s="26" t="inlineStr">
        <is>
          <t>Risiko</t>
        </is>
      </c>
      <c r="C3" s="26" t="inlineStr">
        <is>
          <t>Dampak</t>
        </is>
      </c>
      <c r="D3" s="26" t="inlineStr">
        <is>
          <t>Probabilitas</t>
        </is>
      </c>
      <c r="E3" s="26" t="inlineStr">
        <is>
          <t>Mitigasi</t>
        </is>
      </c>
      <c r="F3" s="26" t="inlineStr">
        <is>
          <t>Pemicu</t>
        </is>
      </c>
    </row>
    <row r="4" ht="38" customHeight="1">
      <c r="A4" s="41" t="n">
        <v>1</v>
      </c>
      <c r="B4" s="39" t="inlineStr">
        <is>
          <t>Build APK gagal (lisensi/SDK/Gradle)</t>
        </is>
      </c>
      <c r="C4" s="42" t="inlineStr">
        <is>
          <t>Tinggi</t>
        </is>
      </c>
      <c r="D4" s="43" t="inlineStr">
        <is>
          <t>Sedang</t>
        </is>
      </c>
      <c r="E4" s="39" t="inlineStr">
        <is>
          <t>Terima lisensi Android lebih awal, build debug di Hari 2, siapkan fallback APK debug atau tautan Drive.</t>
        </is>
      </c>
      <c r="F4" s="39" t="inlineStr">
        <is>
          <t>flutter doctor / build error</t>
        </is>
      </c>
    </row>
    <row r="5" ht="38" customHeight="1">
      <c r="A5" s="41" t="n">
        <v>2</v>
      </c>
      <c r="B5" s="39" t="inlineStr">
        <is>
          <t>Realtime tidak stabil saat jaringan putus</t>
        </is>
      </c>
      <c r="C5" s="42" t="inlineStr">
        <is>
          <t>Tinggi</t>
        </is>
      </c>
      <c r="D5" s="42" t="inlineStr">
        <is>
          <t>Tinggi</t>
        </is>
      </c>
      <c r="E5" s="39" t="inlineStr">
        <is>
          <t>Outbox + retry backoff, replay sync:since, idempotensi client_message_id, uji airplane mode &amp; server restart.</t>
        </is>
      </c>
      <c r="F5" s="39" t="inlineStr">
        <is>
          <t>Pesan hilang/duplikat saat uji</t>
        </is>
      </c>
    </row>
    <row r="6" ht="38" customHeight="1">
      <c r="A6" s="41" t="n">
        <v>3</v>
      </c>
      <c r="B6" s="39" t="inlineStr">
        <is>
          <t>Waktu 3,5 hari tidak cukup</t>
        </is>
      </c>
      <c r="C6" s="42" t="inlineStr">
        <is>
          <t>Tinggi</t>
        </is>
      </c>
      <c r="D6" s="42" t="inlineStr">
        <is>
          <t>Tinggi</t>
        </is>
      </c>
      <c r="E6" s="39" t="inlineStr">
        <is>
          <t>Must-first, bangun vertical slice lebih dulu, hentikan Should/Could bila waktu habis.</t>
        </is>
      </c>
      <c r="F6" s="39" t="inlineStr">
        <is>
          <t>Progres harian &lt; 70% target</t>
        </is>
      </c>
    </row>
    <row r="7" ht="38" customHeight="1">
      <c r="A7" s="41" t="n">
        <v>4</v>
      </c>
      <c r="B7" s="39" t="inlineStr">
        <is>
          <t>API key AI tidak tersedia</t>
        </is>
      </c>
      <c r="C7" s="43" t="inlineStr">
        <is>
          <t>Sedang</t>
        </is>
      </c>
      <c r="D7" s="43" t="inlineStr">
        <is>
          <t>Sedang</t>
        </is>
      </c>
      <c r="E7" s="39" t="inlineStr">
        <is>
          <t>Fallback rule-based dari knowledge base, adapter dapat dikonfigurasi via env.</t>
        </is>
      </c>
      <c r="F7" s="39" t="inlineStr">
        <is>
          <t>AI tidak merespons / 401</t>
        </is>
      </c>
    </row>
    <row r="8" ht="38" customHeight="1">
      <c r="A8" s="41" t="n">
        <v>5</v>
      </c>
      <c r="B8" s="39" t="inlineStr">
        <is>
          <t>Konkurensi SQLite (database locked)</t>
        </is>
      </c>
      <c r="C8" s="43" t="inlineStr">
        <is>
          <t>Sedang</t>
        </is>
      </c>
      <c r="D8" s="44" t="inlineStr">
        <is>
          <t>Rendah</t>
        </is>
      </c>
      <c r="E8" s="39" t="inlineStr">
        <is>
          <t>Aktifkan WAL, satu writer, transaksi pendek, index pada kolom filter.</t>
        </is>
      </c>
      <c r="F8" s="39" t="inlineStr">
        <is>
          <t>Error SQLITE_BUSY</t>
        </is>
      </c>
    </row>
    <row r="9" ht="38" customHeight="1">
      <c r="A9" s="41" t="n">
        <v>6</v>
      </c>
      <c r="B9" s="39" t="inlineStr">
        <is>
          <t>Reviewer tidak dapat mengakses repo/APK</t>
        </is>
      </c>
      <c r="C9" s="43" t="inlineStr">
        <is>
          <t>Sedang</t>
        </is>
      </c>
      <c r="D9" s="44" t="inlineStr">
        <is>
          <t>Rendah</t>
        </is>
      </c>
      <c r="E9" s="39" t="inlineStr">
        <is>
          <t>Repo publik, README langkah setup, akun demo, tautan APK di README &amp; email.</t>
        </is>
      </c>
      <c r="F9" s="39" t="inlineStr">
        <is>
          <t>404 / izin ditolak</t>
        </is>
      </c>
    </row>
    <row r="10" ht="38" customHeight="1">
      <c r="A10" s="41" t="n">
        <v>7</v>
      </c>
      <c r="B10" s="39" t="inlineStr">
        <is>
          <t>Push notification butuh konfigurasi FCM</t>
        </is>
      </c>
      <c r="C10" s="44" t="inlineStr">
        <is>
          <t>Rendah</t>
        </is>
      </c>
      <c r="D10" s="43" t="inlineStr">
        <is>
          <t>Sedang</t>
        </is>
      </c>
      <c r="E10" s="39" t="inlineStr">
        <is>
          <t>Default local notification dari event socket; struktur siap FCM bila config tersedia.</t>
        </is>
      </c>
      <c r="F10" s="39" t="inlineStr">
        <is>
          <t>google-services.json tidak ada</t>
        </is>
      </c>
    </row>
  </sheetData>
  <mergeCells count="1">
    <mergeCell ref="A1:F1"/>
  </mergeCells>
  <pageMargins left="0.3" right="0.3" top="0.4" bottom="0.4" header="0.5" footer="0.5"/>
  <pageSetup orientation="landscape" paperSize="8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24" customWidth="1" min="4" max="4"/>
  </cols>
  <sheetData>
    <row r="1" ht="30" customHeight="1">
      <c r="A1" s="24" t="inlineStr">
        <is>
          <t>LEGENDA, ASUMSI &amp; TRACEABILITY</t>
        </is>
      </c>
    </row>
    <row r="3" ht="22" customHeight="1">
      <c r="A3" s="45" t="inlineStr">
        <is>
          <t>A. PRIORITAS</t>
        </is>
      </c>
    </row>
    <row r="4" ht="30" customHeight="1">
      <c r="A4" s="46" t="inlineStr">
        <is>
          <t>Must</t>
        </is>
      </c>
      <c r="B4" s="47" t="inlineStr">
        <is>
          <t>Wajib, menjadi syarat deliverable dan fitur inti pada instruksi PDF.</t>
        </is>
      </c>
      <c r="C4" s="47" t="n"/>
      <c r="D4" s="47" t="n"/>
    </row>
    <row r="5" ht="30" customHeight="1">
      <c r="A5" s="46" t="inlineStr">
        <is>
          <t>Should</t>
        </is>
      </c>
      <c r="B5" s="47" t="inlineStr">
        <is>
          <t>Penting untuk kualitas &amp; kelengkapan, dikerjakan setelah Must stabil.</t>
        </is>
      </c>
      <c r="C5" s="47" t="n"/>
      <c r="D5" s="47" t="n"/>
    </row>
    <row r="6" ht="30" customHeight="1">
      <c r="A6" s="46" t="inlineStr">
        <is>
          <t>Could</t>
        </is>
      </c>
      <c r="B6" s="47" t="inlineStr">
        <is>
          <t>Nilai tambah, dikerjakan bila waktu tersisa.</t>
        </is>
      </c>
      <c r="C6" s="47" t="n"/>
      <c r="D6" s="47" t="n"/>
    </row>
    <row r="8" ht="22" customHeight="1">
      <c r="A8" s="45" t="inlineStr">
        <is>
          <t>B. STATUS</t>
        </is>
      </c>
    </row>
    <row r="9" ht="30" customHeight="1">
      <c r="A9" s="46" t="inlineStr">
        <is>
          <t>Planned</t>
        </is>
      </c>
      <c r="B9" s="47" t="inlineStr">
        <is>
          <t>Belum dikerjakan.</t>
        </is>
      </c>
      <c r="C9" s="47" t="n"/>
      <c r="D9" s="47" t="n"/>
    </row>
    <row r="10" ht="30" customHeight="1">
      <c r="A10" s="46" t="inlineStr">
        <is>
          <t>In Progress</t>
        </is>
      </c>
      <c r="B10" s="47" t="inlineStr">
        <is>
          <t>Sedang dikerjakan.</t>
        </is>
      </c>
      <c r="C10" s="47" t="n"/>
      <c r="D10" s="47" t="n"/>
    </row>
    <row r="11" ht="30" customHeight="1">
      <c r="A11" s="46" t="inlineStr">
        <is>
          <t>Done</t>
        </is>
      </c>
      <c r="B11" s="47" t="inlineStr">
        <is>
          <t>Selesai &amp; terverifikasi.</t>
        </is>
      </c>
      <c r="C11" s="47" t="n"/>
      <c r="D11" s="47" t="n"/>
    </row>
    <row r="12" ht="30" customHeight="1">
      <c r="A12" s="46" t="inlineStr">
        <is>
          <t>Blocked</t>
        </is>
      </c>
      <c r="B12" s="47" t="inlineStr">
        <is>
          <t>Terhambat, butuh keputusan.</t>
        </is>
      </c>
      <c r="C12" s="47" t="n"/>
      <c r="D12" s="47" t="n"/>
    </row>
    <row r="14" ht="22" customHeight="1">
      <c r="A14" s="45" t="inlineStr">
        <is>
          <t>C. AKTOR &amp; HAK AKSES (RBAC)</t>
        </is>
      </c>
    </row>
    <row r="15" ht="30" customHeight="1">
      <c r="A15" s="46" t="inlineStr">
        <is>
          <t>Customer</t>
        </is>
      </c>
      <c r="B15" s="47" t="inlineStr">
        <is>
          <t>Membuat tiket &amp; chat dari widget atau mobile app.</t>
        </is>
      </c>
      <c r="C15" s="47" t="n"/>
      <c r="D15" s="47" t="n"/>
    </row>
    <row r="16" ht="30" customHeight="1">
      <c r="A16" s="46" t="inlineStr">
        <is>
          <t>CS Agent</t>
        </is>
      </c>
      <c r="B16" s="47" t="inlineStr">
        <is>
          <t>Menangani tiket, membalas chat, eskalasi, resolve.</t>
        </is>
      </c>
      <c r="C16" s="47" t="n"/>
      <c r="D16" s="47" t="n"/>
    </row>
    <row r="17" ht="30" customHeight="1">
      <c r="A17" s="46" t="inlineStr">
        <is>
          <t>Supervisor</t>
        </is>
      </c>
      <c r="B17" s="47" t="inlineStr">
        <is>
          <t>Menerima eskalasi, memantau SLA/beban kerja, meninjau CSAT.</t>
        </is>
      </c>
      <c r="C17" s="47" t="n"/>
      <c r="D17" s="47" t="n"/>
    </row>
    <row r="18" ht="30" customHeight="1">
      <c r="A18" s="46" t="inlineStr">
        <is>
          <t>Admin</t>
        </is>
      </c>
      <c r="B18" s="47" t="inlineStr">
        <is>
          <t>Mengelola user, role, kategori, SLA, knowledge base, audit log.</t>
        </is>
      </c>
      <c r="C18" s="47" t="n"/>
      <c r="D18" s="47" t="n"/>
    </row>
    <row r="20" ht="22" customHeight="1">
      <c r="A20" s="45" t="inlineStr">
        <is>
          <t>D. ASUMSI PROSES &amp; TEKNIS</t>
        </is>
      </c>
    </row>
    <row r="21" ht="30" customHeight="1">
      <c r="A21" s="46" t="inlineStr">
        <is>
          <t>Kanal</t>
        </is>
      </c>
      <c r="B21" s="47" t="inlineStr">
        <is>
          <t>Live Chat Widget (web), Web App untuk agent/supervisor/admin, Mobile App (customer &amp; agent mode).</t>
        </is>
      </c>
      <c r="C21" s="47" t="n"/>
      <c r="D21" s="47" t="n"/>
    </row>
    <row r="22" ht="30" customHeight="1">
      <c r="A22" s="46" t="inlineStr">
        <is>
          <t>Realtime</t>
        </is>
      </c>
      <c r="B22" s="47" t="inlineStr">
        <is>
          <t>Socket.IO; satu koneksi per klien, room per tiket, heartbeat, reconnect, replay pesan (sync:since), fallback polling.</t>
        </is>
      </c>
      <c r="C22" s="47" t="n"/>
      <c r="D22" s="47" t="n"/>
    </row>
    <row r="23" ht="30" customHeight="1">
      <c r="A23" s="46" t="inlineStr">
        <is>
          <t>SLA default</t>
        </is>
      </c>
      <c r="B23" s="47" t="inlineStr">
        <is>
          <t>First response 15 menit, resolusi 1x24 jam (dapat diubah admin per kategori).</t>
        </is>
      </c>
      <c r="C23" s="47" t="n"/>
      <c r="D23" s="47" t="n"/>
    </row>
    <row r="24" ht="30" customHeight="1">
      <c r="A24" s="46" t="inlineStr">
        <is>
          <t>Prioritas</t>
        </is>
      </c>
      <c r="B24" s="47" t="inlineStr">
        <is>
          <t>Low, Medium, High, Urgent; memengaruhi urutan antrean &amp; target SLA.</t>
        </is>
      </c>
      <c r="C24" s="47" t="n"/>
      <c r="D24" s="47" t="n"/>
    </row>
    <row r="25" ht="30" customHeight="1">
      <c r="A25" s="46" t="inlineStr">
        <is>
          <t>Status tiket</t>
        </is>
      </c>
      <c r="B25" s="47" t="inlineStr">
        <is>
          <t>New → Assigned → On Progress ⇄ Pending → Resolved → Closed; reopen ≤ 7 hari; auto-close 7 hari setelah Resolved.</t>
        </is>
      </c>
      <c r="C25" s="47" t="n"/>
      <c r="D25" s="47" t="n"/>
    </row>
    <row r="26" ht="30" customHeight="1">
      <c r="A26" s="46" t="inlineStr">
        <is>
          <t>Guest chat</t>
        </is>
      </c>
      <c r="B26" s="47" t="inlineStr">
        <is>
          <t>Widget dapat dipakai tanpa login (nama + email), sesi disimpan di browser.</t>
        </is>
      </c>
      <c r="C26" s="47" t="n"/>
      <c r="D26" s="47" t="n"/>
    </row>
    <row r="27" ht="30" customHeight="1">
      <c r="A27" s="46" t="inlineStr">
        <is>
          <t>AI auto-reply</t>
        </is>
      </c>
      <c r="B27" s="47" t="inlineStr">
        <is>
          <t>Menjawab dari knowledge base; jika API key tidak tersedia memakai fallback rule-based; tidak menutup tiket otomatis.</t>
        </is>
      </c>
      <c r="C27" s="47" t="n"/>
      <c r="D27" s="47" t="n"/>
    </row>
    <row r="28" ht="30" customHeight="1">
      <c r="A28" s="46" t="inlineStr">
        <is>
          <t>Push notification</t>
        </is>
      </c>
      <c r="B28" s="47" t="inlineStr">
        <is>
          <t>Local notification dari event realtime; struktur siap FCM.</t>
        </is>
      </c>
      <c r="C28" s="47" t="n"/>
      <c r="D28" s="47" t="n"/>
    </row>
    <row r="29" ht="30" customHeight="1">
      <c r="A29" s="46" t="inlineStr">
        <is>
          <t>Database</t>
        </is>
      </c>
      <c r="B29" s="47" t="inlineStr">
        <is>
          <t>SQLite (mode WAL) untuk kemudahan review; skema kompatibel PostgreSQL.</t>
        </is>
      </c>
      <c r="C29" s="47" t="n"/>
      <c r="D29" s="47" t="n"/>
    </row>
    <row r="30" ht="30" customHeight="1">
      <c r="A30" s="46" t="inlineStr">
        <is>
          <t>Keamanan</t>
        </is>
      </c>
      <c r="B30" s="47" t="inlineStr">
        <is>
          <t>JWT + refresh token, RBAC per endpoint/event, validasi upload, rate limit.</t>
        </is>
      </c>
      <c r="C30" s="47" t="n"/>
      <c r="D30" s="47" t="n"/>
    </row>
    <row r="32" ht="22" customHeight="1">
      <c r="A32" s="45" t="inlineStr">
        <is>
          <t>E. TRACEABILITY BPMN → WBS</t>
        </is>
      </c>
    </row>
    <row r="33" ht="30" customHeight="1">
      <c r="A33" s="46" t="inlineStr">
        <is>
          <t>C0-C5</t>
        </is>
      </c>
      <c r="B33" s="47" t="inlineStr">
        <is>
          <t>Lane Customer: start, buka widget/app, pre-chat, diskusi, konfirmasi &amp; CSAT, selesai.</t>
        </is>
      </c>
      <c r="C33" s="47" t="n"/>
      <c r="D33" s="47" t="n"/>
    </row>
    <row r="34" ht="30" customHeight="1">
      <c r="A34" s="46" t="inlineStr">
        <is>
          <t>S1-S8</t>
        </is>
      </c>
      <c r="B34" s="47" t="inlineStr">
        <is>
          <t>Lane Live Chat System: buat tiket, AI, klasifikasi/SLA, notifikasi, relay pesan, timer SLA, simpan CSAT/auto-close.</t>
        </is>
      </c>
      <c r="C34" s="47" t="n"/>
      <c r="D34" s="47" t="n"/>
    </row>
    <row r="35" ht="30" customHeight="1">
      <c r="A35" s="46" t="inlineStr">
        <is>
          <t>A1-A7</t>
        </is>
      </c>
      <c r="B35" s="47" t="inlineStr">
        <is>
          <t>Lane CS Agent: ambil tiket, analisis, eskalasi, solusi, tangani L2, resolve.</t>
        </is>
      </c>
      <c r="C35" s="47" t="n"/>
      <c r="D35" s="47" t="n"/>
    </row>
    <row r="36" ht="30" customHeight="1">
      <c r="A36" s="46" t="inlineStr">
        <is>
          <t>P1-P3</t>
        </is>
      </c>
      <c r="B36" s="47" t="inlineStr">
        <is>
          <t>Lane Supervisor: review eskalasi, setujui &amp; pantau, tinjau CSAT rendah.</t>
        </is>
      </c>
      <c r="C36" s="47" t="n"/>
      <c r="D36" s="47" t="n"/>
    </row>
    <row r="37" ht="30" customHeight="1">
      <c r="A37" s="46" t="inlineStr">
        <is>
          <t>D1-D4</t>
        </is>
      </c>
      <c r="B37" s="47" t="inlineStr">
        <is>
          <t>Lane Admin (periodik): user &amp; role, kategori/SLA, KB &amp; canned response, audit &amp; laporan.</t>
        </is>
      </c>
      <c r="C37" s="47" t="n"/>
      <c r="D37" s="47" t="n"/>
    </row>
  </sheetData>
  <mergeCells count="32">
    <mergeCell ref="B11:D11"/>
    <mergeCell ref="A8:D8"/>
    <mergeCell ref="B23:D23"/>
    <mergeCell ref="A20:D20"/>
    <mergeCell ref="B17:D17"/>
    <mergeCell ref="B29:D29"/>
    <mergeCell ref="B34:D34"/>
    <mergeCell ref="B10:D10"/>
    <mergeCell ref="B28:D28"/>
    <mergeCell ref="B37:D37"/>
    <mergeCell ref="B9:D9"/>
    <mergeCell ref="B30:D30"/>
    <mergeCell ref="B15:D15"/>
    <mergeCell ref="B6:D6"/>
    <mergeCell ref="B24:D24"/>
    <mergeCell ref="B33:D33"/>
    <mergeCell ref="A1:D1"/>
    <mergeCell ref="B5:D5"/>
    <mergeCell ref="B36:D36"/>
    <mergeCell ref="B35:D35"/>
    <mergeCell ref="B4:D4"/>
    <mergeCell ref="B26:D26"/>
    <mergeCell ref="B25:D25"/>
    <mergeCell ref="B16:D16"/>
    <mergeCell ref="B22:D22"/>
    <mergeCell ref="A3:D3"/>
    <mergeCell ref="B18:D18"/>
    <mergeCell ref="B27:D27"/>
    <mergeCell ref="B21:D21"/>
    <mergeCell ref="B12:D12"/>
    <mergeCell ref="A32:D32"/>
    <mergeCell ref="A14:D14"/>
  </mergeCells>
  <pageMargins left="0.3" right="0.3" top="0.4" bottom="0.4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2026-10-24T04:16:28Z</dcterms:created>
  <dcterms:modified xmlns:dcterms="http://purl.org/dc/terms/" xmlns:xsi="http://www.w3.org/2001/XMLSchema-instance" xsi:type="dcterms:W3CDTF">2026-10-24T04:16:28Z</dcterms:modified>
</cp:coreProperties>
</file>